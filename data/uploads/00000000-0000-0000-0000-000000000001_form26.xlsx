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ll-server\d\AA New Application\Article\DK\Tally\TDS\"/>
    </mc:Choice>
  </mc:AlternateContent>
  <bookViews>
    <workbookView xWindow="-120" yWindow="-120" windowWidth="20730" windowHeight="11040" tabRatio="493"/>
  </bookViews>
  <sheets>
    <sheet name="Deduction Details" sheetId="1" r:id="rId1"/>
  </sheets>
  <definedNames>
    <definedName name="_xlnm._FilterDatabase" localSheetId="0" hidden="1">'Deduction Details'!$A$4:$L$121</definedName>
    <definedName name="DedDetail">'Deduction Details'!#REF!</definedName>
    <definedName name="_xlnm.Print_Titles" localSheetId="0">'Deduction Details'!$1:$4</definedName>
  </definedNames>
  <calcPr calcId="152511"/>
</workbook>
</file>

<file path=xl/calcChain.xml><?xml version="1.0" encoding="utf-8"?>
<calcChain xmlns="http://schemas.openxmlformats.org/spreadsheetml/2006/main">
  <c r="J122" i="1" l="1"/>
  <c r="H122" i="1"/>
  <c r="G122" i="1"/>
  <c r="F122" i="1"/>
  <c r="D122" i="1"/>
  <c r="J117" i="1"/>
  <c r="H117" i="1"/>
  <c r="G117" i="1"/>
  <c r="F117" i="1"/>
  <c r="D117" i="1"/>
  <c r="J115" i="1"/>
  <c r="H115" i="1"/>
  <c r="G115" i="1"/>
  <c r="F115" i="1"/>
  <c r="D115" i="1"/>
  <c r="J113" i="1"/>
  <c r="H113" i="1"/>
  <c r="G113" i="1"/>
  <c r="F113" i="1"/>
  <c r="D113" i="1"/>
  <c r="J108" i="1"/>
  <c r="H108" i="1"/>
  <c r="G108" i="1"/>
  <c r="F108" i="1"/>
  <c r="D108" i="1"/>
  <c r="J106" i="1"/>
  <c r="H106" i="1"/>
  <c r="G106" i="1"/>
  <c r="F106" i="1"/>
  <c r="D106" i="1"/>
  <c r="J104" i="1"/>
  <c r="H104" i="1"/>
  <c r="G104" i="1"/>
  <c r="F104" i="1"/>
  <c r="D104" i="1"/>
  <c r="J99" i="1"/>
  <c r="H99" i="1"/>
  <c r="G99" i="1"/>
  <c r="F99" i="1"/>
  <c r="D99" i="1"/>
  <c r="J97" i="1"/>
  <c r="H97" i="1"/>
  <c r="G97" i="1"/>
  <c r="F97" i="1"/>
  <c r="D97" i="1"/>
  <c r="J92" i="1"/>
  <c r="H92" i="1"/>
  <c r="G92" i="1"/>
  <c r="F92" i="1"/>
  <c r="D92" i="1"/>
  <c r="J88" i="1"/>
  <c r="H88" i="1"/>
  <c r="G88" i="1"/>
  <c r="F88" i="1"/>
  <c r="D88" i="1"/>
  <c r="J81" i="1"/>
  <c r="H81" i="1"/>
  <c r="G81" i="1"/>
  <c r="F81" i="1"/>
  <c r="D81" i="1"/>
  <c r="J79" i="1"/>
  <c r="H79" i="1"/>
  <c r="G79" i="1"/>
  <c r="F79" i="1"/>
  <c r="D79" i="1"/>
  <c r="J77" i="1"/>
  <c r="H77" i="1"/>
  <c r="G77" i="1"/>
  <c r="F77" i="1"/>
  <c r="D77" i="1"/>
  <c r="J73" i="1"/>
  <c r="H73" i="1"/>
  <c r="G73" i="1"/>
  <c r="F73" i="1"/>
  <c r="D73" i="1"/>
  <c r="J71" i="1"/>
  <c r="H71" i="1"/>
  <c r="G71" i="1"/>
  <c r="F71" i="1"/>
  <c r="D71" i="1"/>
  <c r="J66" i="1"/>
  <c r="H66" i="1"/>
  <c r="G66" i="1"/>
  <c r="F66" i="1"/>
  <c r="D66" i="1"/>
  <c r="J64" i="1"/>
  <c r="H64" i="1"/>
  <c r="G64" i="1"/>
  <c r="F64" i="1"/>
  <c r="D64" i="1"/>
  <c r="J62" i="1"/>
  <c r="H62" i="1"/>
  <c r="G62" i="1"/>
  <c r="F62" i="1"/>
  <c r="D62" i="1"/>
  <c r="J60" i="1"/>
  <c r="H60" i="1"/>
  <c r="G60" i="1"/>
  <c r="F60" i="1"/>
  <c r="D60" i="1"/>
  <c r="J47" i="1"/>
  <c r="H47" i="1"/>
  <c r="G47" i="1"/>
  <c r="F47" i="1"/>
  <c r="D47" i="1"/>
  <c r="J42" i="1"/>
  <c r="H42" i="1"/>
  <c r="G42" i="1"/>
  <c r="F42" i="1"/>
  <c r="D42" i="1"/>
  <c r="J40" i="1"/>
  <c r="H40" i="1"/>
  <c r="G40" i="1"/>
  <c r="F40" i="1"/>
  <c r="D40" i="1"/>
  <c r="J38" i="1"/>
  <c r="H38" i="1"/>
  <c r="G38" i="1"/>
  <c r="F38" i="1"/>
  <c r="D38" i="1"/>
  <c r="J36" i="1"/>
  <c r="H36" i="1"/>
  <c r="G36" i="1"/>
  <c r="F36" i="1"/>
  <c r="D36" i="1"/>
  <c r="J31" i="1"/>
  <c r="H31" i="1"/>
  <c r="G31" i="1"/>
  <c r="F31" i="1"/>
  <c r="D31" i="1"/>
  <c r="J26" i="1"/>
  <c r="H26" i="1"/>
  <c r="G26" i="1"/>
  <c r="F26" i="1"/>
  <c r="D26" i="1"/>
  <c r="J24" i="1"/>
  <c r="H24" i="1"/>
  <c r="G24" i="1"/>
  <c r="F24" i="1"/>
  <c r="D24" i="1"/>
  <c r="J22" i="1"/>
  <c r="H22" i="1"/>
  <c r="G22" i="1"/>
  <c r="F22" i="1"/>
  <c r="D22" i="1"/>
  <c r="J19" i="1"/>
  <c r="H19" i="1"/>
  <c r="G19" i="1"/>
  <c r="F19" i="1"/>
  <c r="D19" i="1"/>
  <c r="J15" i="1"/>
  <c r="H15" i="1"/>
  <c r="G15" i="1"/>
  <c r="F15" i="1"/>
  <c r="D15" i="1"/>
  <c r="J10" i="1"/>
  <c r="H10" i="1"/>
  <c r="G10" i="1"/>
  <c r="F10" i="1"/>
  <c r="D10" i="1"/>
  <c r="J6" i="1"/>
  <c r="H6" i="1"/>
  <c r="G6" i="1"/>
  <c r="F6" i="1"/>
  <c r="D6" i="1"/>
  <c r="L1" i="1"/>
  <c r="H123" i="1" l="1"/>
  <c r="G123" i="1"/>
  <c r="F123" i="1"/>
  <c r="D123" i="1"/>
  <c r="J123" i="1"/>
</calcChain>
</file>

<file path=xl/sharedStrings.xml><?xml version="1.0" encoding="utf-8"?>
<sst xmlns="http://schemas.openxmlformats.org/spreadsheetml/2006/main" count="303" uniqueCount="85">
  <si>
    <t>Name</t>
  </si>
  <si>
    <t>Section</t>
  </si>
  <si>
    <t>Income Tax
Rs.</t>
  </si>
  <si>
    <t>Surcharge
Rs.</t>
  </si>
  <si>
    <t>Cess
Rs.</t>
  </si>
  <si>
    <t xml:space="preserve">Print Date: </t>
  </si>
  <si>
    <t>Tax Rate
%</t>
  </si>
  <si>
    <t>Amt. Paid/ Crdt/Drawn Rs.</t>
  </si>
  <si>
    <t>Amt. Paid/ Crdt/Drawn Date</t>
  </si>
  <si>
    <t>Deduction details (Form-26Q) for the period 01/Apr/2024 to 11/Sep/2025</t>
  </si>
  <si>
    <t>Tax Deducted Rs.</t>
  </si>
  <si>
    <t>Tax Deducted Date</t>
  </si>
  <si>
    <t>Non Deduction Reason</t>
  </si>
  <si>
    <t>Amar Nath Prasad (128); PAN: BNAPP1451L</t>
  </si>
  <si>
    <t>194H</t>
  </si>
  <si>
    <t/>
  </si>
  <si>
    <t>AMRITA ICONS (139); PAN: AYBPS6260R</t>
  </si>
  <si>
    <t>194C</t>
  </si>
  <si>
    <t>194A</t>
  </si>
  <si>
    <t>ANDERSON TECHNOLOGY PVT LTD (142); PAN: AAFCA4805K</t>
  </si>
  <si>
    <t>ANDREAL INNOVATION PVT LTD (143); PAN: ABACA2255R</t>
  </si>
  <si>
    <t>Ankit Poddar (72); PAN: BFIPP7592G</t>
  </si>
  <si>
    <t>Ankit Sadani (130); PAN: JBNPS5946C</t>
  </si>
  <si>
    <t>Dhirendra Lalitray Doshi (4); PAN: AEXPD1479B</t>
  </si>
  <si>
    <t>GST PROFESSIONALS LLP (141); PAN: AAPFG3370E</t>
  </si>
  <si>
    <t>194J(b)</t>
  </si>
  <si>
    <t>HASMUKH VITHALDAS JOISHER (144); PAN: ADNPJ5114E</t>
  </si>
  <si>
    <t>INLAND WORLD LOGISTICS PVT LTD (1); PAN: AAACI5607C</t>
  </si>
  <si>
    <t>Jai Kumar Baid (134); PAN: AHDPB2654B</t>
  </si>
  <si>
    <t>Kamlesh Kumar Tiwari (67); PAN: AEAPT6299J</t>
  </si>
  <si>
    <t>KETAN J SHAH (49); PAN: AMUPS0795A</t>
  </si>
  <si>
    <t>NURPRIT KAUR (146); PAN: DPRPK3806R</t>
  </si>
  <si>
    <t>Rajesh Pandey (28); PAN: AIVPP2797G</t>
  </si>
  <si>
    <t>RAYMOND LIFESTYLE LTD. (140); PAN: AAJCR2207E</t>
  </si>
  <si>
    <t>194Q</t>
  </si>
  <si>
    <t>Raymond Limited (116); PAN: AAACR4896A</t>
  </si>
  <si>
    <t>SAHIB S CHOUDHARY &amp; COMPANY (84); PAN: AEJPC0634D</t>
  </si>
  <si>
    <t>Sai Boutique (125); PAN: AEPFS3230M</t>
  </si>
  <si>
    <t>SNCL BUILDERS LLP (105); PAN: ADXFS1033K</t>
  </si>
  <si>
    <t>Tarun Kanti Bhattacharjee (47); PAN: ADXPB3392C</t>
  </si>
  <si>
    <t>Vikas Arora (137); PAN: ALJPA4325J</t>
  </si>
  <si>
    <t>VIPUL MANTRI (145); PAN: ASYPM7947A</t>
  </si>
  <si>
    <t>Amar Nath Prasad (128); PAN: BNAPP1451L Total</t>
  </si>
  <si>
    <t>AMRITA ICONS (139); PAN: AYBPS6260R Total</t>
  </si>
  <si>
    <t>ANDERSON TECHNOLOGY PVT LTD (142); PAN: AAFCA4805K Total</t>
  </si>
  <si>
    <t>ANDREAL INNOVATION PVT LTD (143); PAN: ABACA2255R Total</t>
  </si>
  <si>
    <t>Ankit Poddar (72); PAN: BFIPP7592G Total</t>
  </si>
  <si>
    <t>Ankit Sadani (130); PAN: JBNPS5946C Total</t>
  </si>
  <si>
    <t>Dhirendra Lalitray Doshi (4); PAN: AEXPD1479B Total</t>
  </si>
  <si>
    <t>GST PROFESSIONALS LLP (141); PAN: AAPFG3370E Total</t>
  </si>
  <si>
    <t>HASMUKH VITHALDAS JOISHER (144); PAN: ADNPJ5114E Total</t>
  </si>
  <si>
    <t>INLAND WORLD LOGISTICS PVT LTD (1); PAN: AAACI5607C Total</t>
  </si>
  <si>
    <t>Jai Kumar Baid (134); PAN: AHDPB2654B Total</t>
  </si>
  <si>
    <t>Kamlesh Kumar Tiwari (67); PAN: AEAPT6299J Total</t>
  </si>
  <si>
    <t>KETAN J SHAH (49); PAN: AMUPS0795A Total</t>
  </si>
  <si>
    <t>NURPRIT KAUR (146); PAN: DPRPK3806R Total</t>
  </si>
  <si>
    <t>Rajesh Pandey (28); PAN: AIVPP2797G Total</t>
  </si>
  <si>
    <t>RAYMOND LIFESTYLE LTD. (140); PAN: AAJCR2207E Total</t>
  </si>
  <si>
    <t>Raymond Limited (116); PAN: AAACR4896A Total</t>
  </si>
  <si>
    <t>SAHIB S CHOUDHARY &amp; COMPANY (84); PAN: AEJPC0634D Total</t>
  </si>
  <si>
    <t>Sai Boutique (125); PAN: AEPFS3230M Total</t>
  </si>
  <si>
    <t>SNCL BUILDERS LLP (105); PAN: ADXFS1033K Total</t>
  </si>
  <si>
    <t>Tarun Kanti Bhattacharjee (47); PAN: ADXPB3392C Total</t>
  </si>
  <si>
    <t>Vikas Arora (137); PAN: ALJPA4325J Total</t>
  </si>
  <si>
    <t>VIPUL MANTRI (145); PAN: ASYPM7947A Total</t>
  </si>
  <si>
    <t>Grand Total</t>
  </si>
  <si>
    <t>HPC LTD</t>
  </si>
  <si>
    <t>Adi Debnath (34); PAN: AAAAA0001A</t>
  </si>
  <si>
    <t>Asha Negi (99); PAN: AAAAA0002A</t>
  </si>
  <si>
    <t>Manisha Kumari (87); PAN: AAAAA0003A</t>
  </si>
  <si>
    <t>Suresh Sethia (87); PAN: AAAAA0004A</t>
  </si>
  <si>
    <t>Rupa Khaitan (110); PAN: AAAAA0007A</t>
  </si>
  <si>
    <t>Akash Nagar (127); PAN: AAAAA0005A</t>
  </si>
  <si>
    <t>Rahul Shah (88); PAN: AAAAA0006A</t>
  </si>
  <si>
    <t>Karan Kothari (62); PAN: AAAAA0008A</t>
  </si>
  <si>
    <t>Ramesh Lohia (119); PAN: AAAAA0009A</t>
  </si>
  <si>
    <t>Adi Debnath (34); PAN: AAAAA0001A Total</t>
  </si>
  <si>
    <t>Asha Negi (99); PAN: AAAAA0002A Total</t>
  </si>
  <si>
    <t>Manisha Kumari (87); PAN: AAAAA0003A Total</t>
  </si>
  <si>
    <t>Suresh Sethia (87); PAN: AAAAA0004A Total</t>
  </si>
  <si>
    <t>Rupa Khaitan (110); PAN: AAAAA0007A Total</t>
  </si>
  <si>
    <t>Akash Nagar (127); PAN: AAAAA0005A Total</t>
  </si>
  <si>
    <t>Rahul Shah (88); PAN: AAAAA0006A Total</t>
  </si>
  <si>
    <t>Karan Kothari (62); PAN: AAAAA0008A Total</t>
  </si>
  <si>
    <t>Ramesh Lohia (119); PAN: AAAAA0009A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</si>
</sst>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dd/mmm/yyyy"/>
    <numFmt numFmtId="166" formatCode="_ * #,##0_ ;_ * \-#,##0_ ;_ * &quot;-&quot;??_ ;_ @_ "/>
  </numFmts>
  <fonts count="7" x14ac:knownFonts="1">
    <font>
      <sz val="10"/>
      <name val="Verdana"/>
    </font>
    <font>
      <sz val="10"/>
      <name val="Arial Narrow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 Narrow"/>
      <family val="2"/>
    </font>
    <font>
      <b/>
      <sz val="9"/>
      <name val="Arial Narrow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Continuous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Fill="1"/>
    <xf numFmtId="0" fontId="2" fillId="0" borderId="2" xfId="0" applyFont="1" applyFill="1" applyBorder="1" applyAlignment="1">
      <alignment horizontal="center" wrapText="1"/>
    </xf>
    <xf numFmtId="0" fontId="4" fillId="0" borderId="0" xfId="0" applyFont="1" applyFill="1"/>
    <xf numFmtId="0" fontId="4" fillId="0" borderId="3" xfId="0" applyFont="1" applyFill="1" applyBorder="1" applyAlignment="1">
      <alignment vertical="top"/>
    </xf>
    <xf numFmtId="49" fontId="4" fillId="0" borderId="3" xfId="0" applyNumberFormat="1" applyFont="1" applyFill="1" applyBorder="1" applyAlignment="1">
      <alignment vertical="top"/>
    </xf>
    <xf numFmtId="166" fontId="4" fillId="0" borderId="3" xfId="1" applyNumberFormat="1" applyFont="1" applyFill="1" applyBorder="1" applyAlignment="1">
      <alignment vertical="top"/>
    </xf>
    <xf numFmtId="165" fontId="4" fillId="0" borderId="3" xfId="0" applyNumberFormat="1" applyFont="1" applyFill="1" applyBorder="1" applyAlignment="1">
      <alignment vertical="top"/>
    </xf>
    <xf numFmtId="165" fontId="4" fillId="0" borderId="3" xfId="0" applyNumberFormat="1" applyFont="1" applyFill="1" applyBorder="1" applyAlignment="1">
      <alignment horizontal="center" vertical="top"/>
    </xf>
    <xf numFmtId="0" fontId="4" fillId="0" borderId="3" xfId="0" applyFont="1" applyFill="1" applyBorder="1" applyAlignment="1">
      <alignment vertical="top" wrapText="1"/>
    </xf>
    <xf numFmtId="0" fontId="5" fillId="0" borderId="1" xfId="0" applyFont="1" applyFill="1" applyBorder="1"/>
    <xf numFmtId="0" fontId="4" fillId="0" borderId="1" xfId="0" applyFont="1" applyFill="1" applyBorder="1"/>
    <xf numFmtId="166" fontId="5" fillId="0" borderId="1" xfId="1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right"/>
    </xf>
    <xf numFmtId="0" fontId="4" fillId="0" borderId="4" xfId="0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showZeros="0" tabSelected="1" workbookViewId="0">
      <selection activeCell="C4" sqref="C4"/>
    </sheetView>
  </sheetViews>
  <sheetFormatPr defaultColWidth="9" defaultRowHeight="13" outlineLevelRow="2" x14ac:dyDescent="0.3"/>
  <cols>
    <col min="1" max="1" width="0.765625" style="1" customWidth="1"/>
    <col min="2" max="2" width="19.3828125" style="1" customWidth="1"/>
    <col min="3" max="3" width="6.84375" style="1" customWidth="1"/>
    <col min="4" max="4" width="11.15234375" style="1" customWidth="1"/>
    <col min="5" max="5" width="10.61328125" style="1" customWidth="1"/>
    <col min="6" max="6" width="10.23046875" style="1" customWidth="1"/>
    <col min="7" max="7" width="9" style="1"/>
    <col min="8" max="8" width="7.84375" style="1" customWidth="1"/>
    <col min="9" max="9" width="7.4609375" style="1" customWidth="1"/>
    <col min="10" max="11" width="10.23046875" style="1" customWidth="1"/>
    <col min="12" max="12" width="20.61328125" style="1" customWidth="1"/>
    <col min="13" max="16384" width="9" style="1"/>
  </cols>
  <sheetData>
    <row r="1" spans="1:12" s="2" customFormat="1" ht="14" x14ac:dyDescent="0.3">
      <c r="B1" s="2" t="s">
        <v>66</v>
      </c>
      <c r="K1" s="5" t="s">
        <v>5</v>
      </c>
      <c r="L1" s="4">
        <f ca="1">NOW()</f>
        <v>46102.747453472221</v>
      </c>
    </row>
    <row r="2" spans="1:12" s="2" customFormat="1" ht="14" x14ac:dyDescent="0.3">
      <c r="B2" s="22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2" customFormat="1" ht="7.5" customHeight="1" x14ac:dyDescent="0.3"/>
    <row r="4" spans="1:12" s="2" customFormat="1" ht="44.25" customHeight="1" thickBot="1" x14ac:dyDescent="0.35">
      <c r="A4" s="7"/>
      <c r="B4" s="8" t="s">
        <v>0</v>
      </c>
      <c r="C4" s="8" t="s">
        <v>1</v>
      </c>
      <c r="D4" s="8" t="s">
        <v>7</v>
      </c>
      <c r="E4" s="8" t="s">
        <v>8</v>
      </c>
      <c r="F4" s="8" t="s">
        <v>2</v>
      </c>
      <c r="G4" s="8" t="s">
        <v>3</v>
      </c>
      <c r="H4" s="8" t="s">
        <v>4</v>
      </c>
      <c r="I4" s="8" t="s">
        <v>6</v>
      </c>
      <c r="J4" s="8" t="s">
        <v>10</v>
      </c>
      <c r="K4" s="8" t="s">
        <v>11</v>
      </c>
      <c r="L4" s="8" t="s">
        <v>12</v>
      </c>
    </row>
    <row r="5" spans="1:12" s="6" customFormat="1" ht="12" outlineLevel="2" thickTop="1" x14ac:dyDescent="0.25">
      <c r="A5" s="9"/>
      <c r="B5" s="10" t="s">
        <v>13</v>
      </c>
      <c r="C5" s="11" t="s">
        <v>14</v>
      </c>
      <c r="D5" s="12">
        <v>22090</v>
      </c>
      <c r="E5" s="13">
        <v>45747</v>
      </c>
      <c r="F5" s="10">
        <v>442</v>
      </c>
      <c r="G5" s="10">
        <v>0</v>
      </c>
      <c r="H5" s="10">
        <v>0</v>
      </c>
      <c r="I5" s="10">
        <v>2</v>
      </c>
      <c r="J5" s="10">
        <v>442</v>
      </c>
      <c r="K5" s="14">
        <v>45747</v>
      </c>
      <c r="L5" s="15" t="s">
        <v>15</v>
      </c>
    </row>
    <row r="6" spans="1:12" s="6" customFormat="1" ht="11.5" outlineLevel="2" x14ac:dyDescent="0.25">
      <c r="A6" s="9"/>
      <c r="B6" s="16" t="s">
        <v>42</v>
      </c>
      <c r="C6" s="17"/>
      <c r="D6" s="18">
        <f>SUBTOTAL(9,D5:D5)</f>
        <v>22090</v>
      </c>
      <c r="E6" s="17"/>
      <c r="F6" s="19">
        <f>SUBTOTAL(9,F5:F5)</f>
        <v>442</v>
      </c>
      <c r="G6" s="19">
        <f>SUBTOTAL(9,G5:G5)</f>
        <v>0</v>
      </c>
      <c r="H6" s="19">
        <f>SUBTOTAL(9,H5:H5)</f>
        <v>0</v>
      </c>
      <c r="I6" s="17"/>
      <c r="J6" s="19">
        <f>SUBTOTAL(9,J5:J5)</f>
        <v>442</v>
      </c>
      <c r="K6" s="17"/>
      <c r="L6" s="17"/>
    </row>
    <row r="7" spans="1:12" s="6" customFormat="1" ht="11.5" outlineLevel="2" x14ac:dyDescent="0.25">
      <c r="A7" s="9"/>
      <c r="B7" s="20" t="s">
        <v>16</v>
      </c>
      <c r="C7" s="11" t="s">
        <v>17</v>
      </c>
      <c r="D7" s="12">
        <v>181380</v>
      </c>
      <c r="E7" s="13">
        <v>45565</v>
      </c>
      <c r="F7" s="10">
        <v>1814</v>
      </c>
      <c r="G7" s="10">
        <v>0</v>
      </c>
      <c r="H7" s="10">
        <v>0</v>
      </c>
      <c r="I7" s="10">
        <v>1</v>
      </c>
      <c r="J7" s="10">
        <v>1814</v>
      </c>
      <c r="K7" s="14">
        <v>45565</v>
      </c>
      <c r="L7" s="15" t="s">
        <v>15</v>
      </c>
    </row>
    <row r="8" spans="1:12" s="6" customFormat="1" ht="11.5" outlineLevel="2" x14ac:dyDescent="0.25">
      <c r="A8" s="9"/>
      <c r="B8" s="21" t="s">
        <v>16</v>
      </c>
      <c r="C8" s="11" t="s">
        <v>17</v>
      </c>
      <c r="D8" s="12">
        <v>9600</v>
      </c>
      <c r="E8" s="13">
        <v>45688</v>
      </c>
      <c r="F8" s="10">
        <v>96</v>
      </c>
      <c r="G8" s="10">
        <v>0</v>
      </c>
      <c r="H8" s="10">
        <v>0</v>
      </c>
      <c r="I8" s="10">
        <v>1</v>
      </c>
      <c r="J8" s="10">
        <v>96</v>
      </c>
      <c r="K8" s="14">
        <v>45688</v>
      </c>
      <c r="L8" s="15" t="s">
        <v>15</v>
      </c>
    </row>
    <row r="9" spans="1:12" s="6" customFormat="1" ht="11.5" outlineLevel="2" x14ac:dyDescent="0.25">
      <c r="A9" s="9"/>
      <c r="B9" s="10" t="s">
        <v>16</v>
      </c>
      <c r="C9" s="11" t="s">
        <v>17</v>
      </c>
      <c r="D9" s="12">
        <v>25266</v>
      </c>
      <c r="E9" s="13">
        <v>45747</v>
      </c>
      <c r="F9" s="10">
        <v>253</v>
      </c>
      <c r="G9" s="10">
        <v>0</v>
      </c>
      <c r="H9" s="10">
        <v>0</v>
      </c>
      <c r="I9" s="10">
        <v>1</v>
      </c>
      <c r="J9" s="10">
        <v>253</v>
      </c>
      <c r="K9" s="14">
        <v>45747</v>
      </c>
      <c r="L9" s="15" t="s">
        <v>15</v>
      </c>
    </row>
    <row r="10" spans="1:12" s="6" customFormat="1" ht="11.5" outlineLevel="2" x14ac:dyDescent="0.25">
      <c r="A10" s="9"/>
      <c r="B10" s="16" t="s">
        <v>43</v>
      </c>
      <c r="C10" s="17"/>
      <c r="D10" s="18">
        <f>SUBTOTAL(9,D7:D9)</f>
        <v>216246</v>
      </c>
      <c r="E10" s="17"/>
      <c r="F10" s="19">
        <f>SUBTOTAL(9,F7:F9)</f>
        <v>2163</v>
      </c>
      <c r="G10" s="19">
        <f>SUBTOTAL(9,G7:G9)</f>
        <v>0</v>
      </c>
      <c r="H10" s="19">
        <f>SUBTOTAL(9,H7:H9)</f>
        <v>0</v>
      </c>
      <c r="I10" s="17"/>
      <c r="J10" s="19">
        <f>SUBTOTAL(9,J7:J9)</f>
        <v>2163</v>
      </c>
      <c r="K10" s="17"/>
      <c r="L10" s="17"/>
    </row>
    <row r="11" spans="1:12" s="6" customFormat="1" ht="11.5" outlineLevel="2" x14ac:dyDescent="0.25">
      <c r="A11" s="9"/>
      <c r="B11" s="20" t="s">
        <v>67</v>
      </c>
      <c r="C11" s="11" t="s">
        <v>18</v>
      </c>
      <c r="D11" s="12">
        <v>82461</v>
      </c>
      <c r="E11" s="13">
        <v>45473</v>
      </c>
      <c r="F11" s="10">
        <v>8246</v>
      </c>
      <c r="G11" s="10">
        <v>0</v>
      </c>
      <c r="H11" s="10">
        <v>0</v>
      </c>
      <c r="I11" s="10">
        <v>10</v>
      </c>
      <c r="J11" s="10">
        <v>8246</v>
      </c>
      <c r="K11" s="14">
        <v>45473</v>
      </c>
      <c r="L11" s="15" t="s">
        <v>15</v>
      </c>
    </row>
    <row r="12" spans="1:12" s="6" customFormat="1" ht="11.5" outlineLevel="2" x14ac:dyDescent="0.25">
      <c r="A12" s="9"/>
      <c r="B12" s="20" t="s">
        <v>67</v>
      </c>
      <c r="C12" s="11" t="s">
        <v>18</v>
      </c>
      <c r="D12" s="12">
        <v>85749</v>
      </c>
      <c r="E12" s="13">
        <v>45565</v>
      </c>
      <c r="F12" s="10">
        <v>8575</v>
      </c>
      <c r="G12" s="10">
        <v>0</v>
      </c>
      <c r="H12" s="10">
        <v>0</v>
      </c>
      <c r="I12" s="10">
        <v>10</v>
      </c>
      <c r="J12" s="10">
        <v>8575</v>
      </c>
      <c r="K12" s="14">
        <v>45565</v>
      </c>
      <c r="L12" s="15" t="s">
        <v>15</v>
      </c>
    </row>
    <row r="13" spans="1:12" s="6" customFormat="1" ht="11.5" outlineLevel="2" x14ac:dyDescent="0.25">
      <c r="A13" s="9"/>
      <c r="B13" s="20" t="s">
        <v>67</v>
      </c>
      <c r="C13" s="11" t="s">
        <v>18</v>
      </c>
      <c r="D13" s="12">
        <v>88131</v>
      </c>
      <c r="E13" s="13">
        <v>45657</v>
      </c>
      <c r="F13" s="10">
        <v>8813</v>
      </c>
      <c r="G13" s="10">
        <v>0</v>
      </c>
      <c r="H13" s="10">
        <v>0</v>
      </c>
      <c r="I13" s="10">
        <v>10</v>
      </c>
      <c r="J13" s="10">
        <v>8813</v>
      </c>
      <c r="K13" s="14">
        <v>45657</v>
      </c>
      <c r="L13" s="15" t="s">
        <v>15</v>
      </c>
    </row>
    <row r="14" spans="1:12" s="6" customFormat="1" ht="11.5" outlineLevel="2" x14ac:dyDescent="0.25">
      <c r="A14" s="9"/>
      <c r="B14" s="20" t="s">
        <v>67</v>
      </c>
      <c r="C14" s="11" t="s">
        <v>18</v>
      </c>
      <c r="D14" s="12">
        <v>88212</v>
      </c>
      <c r="E14" s="13">
        <v>45747</v>
      </c>
      <c r="F14" s="10">
        <v>8821</v>
      </c>
      <c r="G14" s="10">
        <v>0</v>
      </c>
      <c r="H14" s="10">
        <v>0</v>
      </c>
      <c r="I14" s="10">
        <v>10</v>
      </c>
      <c r="J14" s="10">
        <v>8821</v>
      </c>
      <c r="K14" s="14">
        <v>45747</v>
      </c>
      <c r="L14" s="15" t="s">
        <v>15</v>
      </c>
    </row>
    <row r="15" spans="1:12" s="6" customFormat="1" ht="11.5" outlineLevel="2" x14ac:dyDescent="0.25">
      <c r="A15" s="9"/>
      <c r="B15" s="16" t="s">
        <v>76</v>
      </c>
      <c r="C15" s="17"/>
      <c r="D15" s="18">
        <f>SUBTOTAL(9,D11:D14)</f>
        <v>344553</v>
      </c>
      <c r="E15" s="17"/>
      <c r="F15" s="19">
        <f>SUBTOTAL(9,F11:F14)</f>
        <v>34455</v>
      </c>
      <c r="G15" s="19">
        <f>SUBTOTAL(9,G11:G14)</f>
        <v>0</v>
      </c>
      <c r="H15" s="19">
        <f>SUBTOTAL(9,H11:H14)</f>
        <v>0</v>
      </c>
      <c r="I15" s="17"/>
      <c r="J15" s="19">
        <f>SUBTOTAL(9,J11:J14)</f>
        <v>34455</v>
      </c>
      <c r="K15" s="17"/>
      <c r="L15" s="17"/>
    </row>
    <row r="16" spans="1:12" s="6" customFormat="1" ht="11.5" outlineLevel="2" x14ac:dyDescent="0.25">
      <c r="A16" s="9"/>
      <c r="B16" s="20" t="s">
        <v>19</v>
      </c>
      <c r="C16" s="11" t="s">
        <v>17</v>
      </c>
      <c r="D16" s="12">
        <v>134332</v>
      </c>
      <c r="E16" s="13">
        <v>45688</v>
      </c>
      <c r="F16" s="10">
        <v>2687</v>
      </c>
      <c r="G16" s="10">
        <v>0</v>
      </c>
      <c r="H16" s="10">
        <v>0</v>
      </c>
      <c r="I16" s="10">
        <v>2</v>
      </c>
      <c r="J16" s="10">
        <v>2687</v>
      </c>
      <c r="K16" s="14">
        <v>45688</v>
      </c>
      <c r="L16" s="15" t="s">
        <v>15</v>
      </c>
    </row>
    <row r="17" spans="1:12" s="6" customFormat="1" ht="11.5" outlineLevel="2" x14ac:dyDescent="0.25">
      <c r="A17" s="9"/>
      <c r="B17" s="21" t="s">
        <v>19</v>
      </c>
      <c r="C17" s="11" t="s">
        <v>17</v>
      </c>
      <c r="D17" s="12">
        <v>6666</v>
      </c>
      <c r="E17" s="13">
        <v>45716</v>
      </c>
      <c r="F17" s="10">
        <v>133</v>
      </c>
      <c r="G17" s="10">
        <v>0</v>
      </c>
      <c r="H17" s="10">
        <v>0</v>
      </c>
      <c r="I17" s="10">
        <v>2</v>
      </c>
      <c r="J17" s="10">
        <v>133</v>
      </c>
      <c r="K17" s="14">
        <v>45716</v>
      </c>
      <c r="L17" s="15" t="s">
        <v>15</v>
      </c>
    </row>
    <row r="18" spans="1:12" s="6" customFormat="1" ht="11.5" outlineLevel="2" x14ac:dyDescent="0.25">
      <c r="A18" s="9"/>
      <c r="B18" s="10" t="s">
        <v>19</v>
      </c>
      <c r="C18" s="11" t="s">
        <v>17</v>
      </c>
      <c r="D18" s="12">
        <v>55000</v>
      </c>
      <c r="E18" s="13">
        <v>45717</v>
      </c>
      <c r="F18" s="10">
        <v>1100</v>
      </c>
      <c r="G18" s="10">
        <v>0</v>
      </c>
      <c r="H18" s="10">
        <v>0</v>
      </c>
      <c r="I18" s="10">
        <v>2</v>
      </c>
      <c r="J18" s="10">
        <v>1100</v>
      </c>
      <c r="K18" s="14">
        <v>45717</v>
      </c>
      <c r="L18" s="15" t="s">
        <v>15</v>
      </c>
    </row>
    <row r="19" spans="1:12" s="6" customFormat="1" ht="11.5" outlineLevel="2" x14ac:dyDescent="0.25">
      <c r="A19" s="9"/>
      <c r="B19" s="16" t="s">
        <v>44</v>
      </c>
      <c r="C19" s="17"/>
      <c r="D19" s="18">
        <f>SUBTOTAL(9,D16:D18)</f>
        <v>195998</v>
      </c>
      <c r="E19" s="17"/>
      <c r="F19" s="19">
        <f>SUBTOTAL(9,F16:F18)</f>
        <v>3920</v>
      </c>
      <c r="G19" s="19">
        <f>SUBTOTAL(9,G16:G18)</f>
        <v>0</v>
      </c>
      <c r="H19" s="19">
        <f>SUBTOTAL(9,H16:H18)</f>
        <v>0</v>
      </c>
      <c r="I19" s="17"/>
      <c r="J19" s="19">
        <f>SUBTOTAL(9,J16:J18)</f>
        <v>3920</v>
      </c>
      <c r="K19" s="17"/>
      <c r="L19" s="17"/>
    </row>
    <row r="20" spans="1:12" s="6" customFormat="1" ht="11.5" outlineLevel="2" x14ac:dyDescent="0.25">
      <c r="A20" s="9"/>
      <c r="B20" s="20" t="s">
        <v>20</v>
      </c>
      <c r="C20" s="11" t="s">
        <v>17</v>
      </c>
      <c r="D20" s="12">
        <v>179000</v>
      </c>
      <c r="E20" s="13">
        <v>45717</v>
      </c>
      <c r="F20" s="10">
        <v>3580</v>
      </c>
      <c r="G20" s="10">
        <v>0</v>
      </c>
      <c r="H20" s="10">
        <v>0</v>
      </c>
      <c r="I20" s="10">
        <v>2</v>
      </c>
      <c r="J20" s="10">
        <v>3580</v>
      </c>
      <c r="K20" s="14">
        <v>45717</v>
      </c>
      <c r="L20" s="15" t="s">
        <v>15</v>
      </c>
    </row>
    <row r="21" spans="1:12" s="6" customFormat="1" ht="11.5" outlineLevel="2" x14ac:dyDescent="0.25">
      <c r="A21" s="9"/>
      <c r="B21" s="10" t="s">
        <v>20</v>
      </c>
      <c r="C21" s="11" t="s">
        <v>17</v>
      </c>
      <c r="D21" s="12">
        <v>3333</v>
      </c>
      <c r="E21" s="13">
        <v>45747</v>
      </c>
      <c r="F21" s="10">
        <v>67</v>
      </c>
      <c r="G21" s="10">
        <v>0</v>
      </c>
      <c r="H21" s="10">
        <v>0</v>
      </c>
      <c r="I21" s="10">
        <v>2</v>
      </c>
      <c r="J21" s="10">
        <v>67</v>
      </c>
      <c r="K21" s="14">
        <v>45747</v>
      </c>
      <c r="L21" s="15" t="s">
        <v>15</v>
      </c>
    </row>
    <row r="22" spans="1:12" s="6" customFormat="1" ht="11.5" outlineLevel="2" x14ac:dyDescent="0.25">
      <c r="A22" s="9"/>
      <c r="B22" s="16" t="s">
        <v>45</v>
      </c>
      <c r="C22" s="17"/>
      <c r="D22" s="18">
        <f>SUBTOTAL(9,D20:D21)</f>
        <v>182333</v>
      </c>
      <c r="E22" s="17"/>
      <c r="F22" s="19">
        <f>SUBTOTAL(9,F20:F21)</f>
        <v>3647</v>
      </c>
      <c r="G22" s="19">
        <f>SUBTOTAL(9,G20:G21)</f>
        <v>0</v>
      </c>
      <c r="H22" s="19">
        <f>SUBTOTAL(9,H20:H21)</f>
        <v>0</v>
      </c>
      <c r="I22" s="17"/>
      <c r="J22" s="19">
        <f>SUBTOTAL(9,J20:J21)</f>
        <v>3647</v>
      </c>
      <c r="K22" s="17"/>
      <c r="L22" s="17"/>
    </row>
    <row r="23" spans="1:12" s="6" customFormat="1" ht="11.5" outlineLevel="2" x14ac:dyDescent="0.25">
      <c r="A23" s="9"/>
      <c r="B23" s="10" t="s">
        <v>21</v>
      </c>
      <c r="C23" s="11" t="s">
        <v>14</v>
      </c>
      <c r="D23" s="12">
        <v>68301</v>
      </c>
      <c r="E23" s="13">
        <v>45747</v>
      </c>
      <c r="F23" s="10">
        <v>1366</v>
      </c>
      <c r="G23" s="10">
        <v>0</v>
      </c>
      <c r="H23" s="10">
        <v>0</v>
      </c>
      <c r="I23" s="10">
        <v>2</v>
      </c>
      <c r="J23" s="10">
        <v>1366</v>
      </c>
      <c r="K23" s="14">
        <v>45747</v>
      </c>
      <c r="L23" s="15" t="s">
        <v>15</v>
      </c>
    </row>
    <row r="24" spans="1:12" s="6" customFormat="1" ht="11.5" outlineLevel="2" x14ac:dyDescent="0.25">
      <c r="A24" s="9"/>
      <c r="B24" s="16" t="s">
        <v>46</v>
      </c>
      <c r="C24" s="17"/>
      <c r="D24" s="18">
        <f>SUBTOTAL(9,D23:D23)</f>
        <v>68301</v>
      </c>
      <c r="E24" s="17"/>
      <c r="F24" s="19">
        <f>SUBTOTAL(9,F23:F23)</f>
        <v>1366</v>
      </c>
      <c r="G24" s="19">
        <f>SUBTOTAL(9,G23:G23)</f>
        <v>0</v>
      </c>
      <c r="H24" s="19">
        <f>SUBTOTAL(9,H23:H23)</f>
        <v>0</v>
      </c>
      <c r="I24" s="17"/>
      <c r="J24" s="19">
        <f>SUBTOTAL(9,J23:J23)</f>
        <v>1366</v>
      </c>
      <c r="K24" s="17"/>
      <c r="L24" s="17"/>
    </row>
    <row r="25" spans="1:12" s="6" customFormat="1" ht="11.5" outlineLevel="2" x14ac:dyDescent="0.25">
      <c r="A25" s="9"/>
      <c r="B25" s="10" t="s">
        <v>22</v>
      </c>
      <c r="C25" s="11" t="s">
        <v>14</v>
      </c>
      <c r="D25" s="12">
        <v>267137</v>
      </c>
      <c r="E25" s="13">
        <v>45747</v>
      </c>
      <c r="F25" s="10">
        <v>5343</v>
      </c>
      <c r="G25" s="10">
        <v>0</v>
      </c>
      <c r="H25" s="10">
        <v>0</v>
      </c>
      <c r="I25" s="10">
        <v>2</v>
      </c>
      <c r="J25" s="10">
        <v>5343</v>
      </c>
      <c r="K25" s="14">
        <v>45747</v>
      </c>
      <c r="L25" s="15" t="s">
        <v>15</v>
      </c>
    </row>
    <row r="26" spans="1:12" s="6" customFormat="1" ht="11.5" outlineLevel="2" x14ac:dyDescent="0.25">
      <c r="A26" s="9"/>
      <c r="B26" s="16" t="s">
        <v>47</v>
      </c>
      <c r="C26" s="17"/>
      <c r="D26" s="18">
        <f>SUBTOTAL(9,D25:D25)</f>
        <v>267137</v>
      </c>
      <c r="E26" s="17"/>
      <c r="F26" s="19">
        <f>SUBTOTAL(9,F25:F25)</f>
        <v>5343</v>
      </c>
      <c r="G26" s="19">
        <f>SUBTOTAL(9,G25:G25)</f>
        <v>0</v>
      </c>
      <c r="H26" s="19">
        <f>SUBTOTAL(9,H25:H25)</f>
        <v>0</v>
      </c>
      <c r="I26" s="17"/>
      <c r="J26" s="19">
        <f>SUBTOTAL(9,J25:J25)</f>
        <v>5343</v>
      </c>
      <c r="K26" s="17"/>
      <c r="L26" s="17"/>
    </row>
    <row r="27" spans="1:12" s="6" customFormat="1" ht="11.5" outlineLevel="2" x14ac:dyDescent="0.25">
      <c r="A27" s="9"/>
      <c r="B27" s="20" t="s">
        <v>68</v>
      </c>
      <c r="C27" s="11" t="s">
        <v>18</v>
      </c>
      <c r="D27" s="12">
        <v>124533</v>
      </c>
      <c r="E27" s="13">
        <v>45473</v>
      </c>
      <c r="F27" s="10">
        <v>12453</v>
      </c>
      <c r="G27" s="10">
        <v>0</v>
      </c>
      <c r="H27" s="10">
        <v>0</v>
      </c>
      <c r="I27" s="10">
        <v>10</v>
      </c>
      <c r="J27" s="10">
        <v>12453</v>
      </c>
      <c r="K27" s="14">
        <v>45473</v>
      </c>
      <c r="L27" s="15" t="s">
        <v>15</v>
      </c>
    </row>
    <row r="28" spans="1:12" s="6" customFormat="1" ht="11.5" outlineLevel="2" x14ac:dyDescent="0.25">
      <c r="A28" s="9"/>
      <c r="B28" s="20" t="s">
        <v>68</v>
      </c>
      <c r="C28" s="11" t="s">
        <v>18</v>
      </c>
      <c r="D28" s="12">
        <v>129304</v>
      </c>
      <c r="E28" s="13">
        <v>45565</v>
      </c>
      <c r="F28" s="10">
        <v>12930</v>
      </c>
      <c r="G28" s="10">
        <v>0</v>
      </c>
      <c r="H28" s="10">
        <v>0</v>
      </c>
      <c r="I28" s="10">
        <v>10</v>
      </c>
      <c r="J28" s="10">
        <v>12930</v>
      </c>
      <c r="K28" s="14">
        <v>45565</v>
      </c>
      <c r="L28" s="15" t="s">
        <v>15</v>
      </c>
    </row>
    <row r="29" spans="1:12" s="6" customFormat="1" ht="11.5" outlineLevel="2" x14ac:dyDescent="0.25">
      <c r="A29" s="9"/>
      <c r="B29" s="20" t="s">
        <v>68</v>
      </c>
      <c r="C29" s="11" t="s">
        <v>18</v>
      </c>
      <c r="D29" s="12">
        <v>132707</v>
      </c>
      <c r="E29" s="13">
        <v>45657</v>
      </c>
      <c r="F29" s="10">
        <v>13271</v>
      </c>
      <c r="G29" s="10">
        <v>0</v>
      </c>
      <c r="H29" s="10">
        <v>0</v>
      </c>
      <c r="I29" s="10">
        <v>10</v>
      </c>
      <c r="J29" s="10">
        <v>13271</v>
      </c>
      <c r="K29" s="14">
        <v>45657</v>
      </c>
      <c r="L29" s="15" t="s">
        <v>15</v>
      </c>
    </row>
    <row r="30" spans="1:12" s="6" customFormat="1" ht="11.5" outlineLevel="2" x14ac:dyDescent="0.25">
      <c r="A30" s="9"/>
      <c r="B30" s="20" t="s">
        <v>68</v>
      </c>
      <c r="C30" s="11" t="s">
        <v>18</v>
      </c>
      <c r="D30" s="12">
        <v>133151</v>
      </c>
      <c r="E30" s="13">
        <v>45747</v>
      </c>
      <c r="F30" s="10">
        <v>13315</v>
      </c>
      <c r="G30" s="10">
        <v>0</v>
      </c>
      <c r="H30" s="10">
        <v>0</v>
      </c>
      <c r="I30" s="10">
        <v>10</v>
      </c>
      <c r="J30" s="10">
        <v>13315</v>
      </c>
      <c r="K30" s="14">
        <v>45747</v>
      </c>
      <c r="L30" s="15" t="s">
        <v>15</v>
      </c>
    </row>
    <row r="31" spans="1:12" s="6" customFormat="1" ht="11.5" outlineLevel="2" x14ac:dyDescent="0.25">
      <c r="A31" s="9"/>
      <c r="B31" s="16" t="s">
        <v>77</v>
      </c>
      <c r="C31" s="17"/>
      <c r="D31" s="18">
        <f>SUBTOTAL(9,D27:D30)</f>
        <v>519695</v>
      </c>
      <c r="E31" s="17"/>
      <c r="F31" s="19">
        <f>SUBTOTAL(9,F27:F30)</f>
        <v>51969</v>
      </c>
      <c r="G31" s="19">
        <f>SUBTOTAL(9,G27:G30)</f>
        <v>0</v>
      </c>
      <c r="H31" s="19">
        <f>SUBTOTAL(9,H27:H30)</f>
        <v>0</v>
      </c>
      <c r="I31" s="17"/>
      <c r="J31" s="19">
        <f>SUBTOTAL(9,J27:J30)</f>
        <v>51969</v>
      </c>
      <c r="K31" s="17"/>
      <c r="L31" s="17"/>
    </row>
    <row r="32" spans="1:12" s="6" customFormat="1" ht="11.5" outlineLevel="2" x14ac:dyDescent="0.25">
      <c r="A32" s="9"/>
      <c r="B32" s="20" t="s">
        <v>69</v>
      </c>
      <c r="C32" s="11" t="s">
        <v>18</v>
      </c>
      <c r="D32" s="12">
        <v>244017</v>
      </c>
      <c r="E32" s="13">
        <v>45473</v>
      </c>
      <c r="F32" s="10">
        <v>24402</v>
      </c>
      <c r="G32" s="10">
        <v>0</v>
      </c>
      <c r="H32" s="10">
        <v>0</v>
      </c>
      <c r="I32" s="10">
        <v>10</v>
      </c>
      <c r="J32" s="10">
        <v>24402</v>
      </c>
      <c r="K32" s="14">
        <v>45473</v>
      </c>
      <c r="L32" s="15" t="s">
        <v>15</v>
      </c>
    </row>
    <row r="33" spans="1:12" s="6" customFormat="1" ht="11.5" outlineLevel="2" x14ac:dyDescent="0.25">
      <c r="A33" s="9"/>
      <c r="B33" s="20" t="s">
        <v>69</v>
      </c>
      <c r="C33" s="11" t="s">
        <v>18</v>
      </c>
      <c r="D33" s="12">
        <v>253504</v>
      </c>
      <c r="E33" s="13">
        <v>45565</v>
      </c>
      <c r="F33" s="10">
        <v>25350</v>
      </c>
      <c r="G33" s="10">
        <v>0</v>
      </c>
      <c r="H33" s="10">
        <v>0</v>
      </c>
      <c r="I33" s="10">
        <v>10</v>
      </c>
      <c r="J33" s="10">
        <v>25350</v>
      </c>
      <c r="K33" s="14">
        <v>45565</v>
      </c>
      <c r="L33" s="15" t="s">
        <v>15</v>
      </c>
    </row>
    <row r="34" spans="1:12" s="6" customFormat="1" ht="11.5" outlineLevel="2" x14ac:dyDescent="0.25">
      <c r="A34" s="9"/>
      <c r="B34" s="20" t="s">
        <v>69</v>
      </c>
      <c r="C34" s="11" t="s">
        <v>18</v>
      </c>
      <c r="D34" s="12">
        <v>260310</v>
      </c>
      <c r="E34" s="13">
        <v>45657</v>
      </c>
      <c r="F34" s="10">
        <v>26031</v>
      </c>
      <c r="G34" s="10">
        <v>0</v>
      </c>
      <c r="H34" s="10">
        <v>0</v>
      </c>
      <c r="I34" s="10">
        <v>10</v>
      </c>
      <c r="J34" s="10">
        <v>26031</v>
      </c>
      <c r="K34" s="14">
        <v>45657</v>
      </c>
      <c r="L34" s="15" t="s">
        <v>15</v>
      </c>
    </row>
    <row r="35" spans="1:12" s="6" customFormat="1" ht="11.5" outlineLevel="2" x14ac:dyDescent="0.25">
      <c r="A35" s="9"/>
      <c r="B35" s="20" t="s">
        <v>69</v>
      </c>
      <c r="C35" s="11" t="s">
        <v>18</v>
      </c>
      <c r="D35" s="12">
        <v>261308</v>
      </c>
      <c r="E35" s="13">
        <v>45747</v>
      </c>
      <c r="F35" s="10">
        <v>26131</v>
      </c>
      <c r="G35" s="10">
        <v>0</v>
      </c>
      <c r="H35" s="10">
        <v>0</v>
      </c>
      <c r="I35" s="10">
        <v>10</v>
      </c>
      <c r="J35" s="10">
        <v>26131</v>
      </c>
      <c r="K35" s="14">
        <v>45747</v>
      </c>
      <c r="L35" s="15" t="s">
        <v>15</v>
      </c>
    </row>
    <row r="36" spans="1:12" s="6" customFormat="1" ht="11.5" outlineLevel="2" x14ac:dyDescent="0.25">
      <c r="A36" s="9"/>
      <c r="B36" s="16" t="s">
        <v>78</v>
      </c>
      <c r="C36" s="17"/>
      <c r="D36" s="18">
        <f>SUBTOTAL(9,D32:D35)</f>
        <v>1019139</v>
      </c>
      <c r="E36" s="17"/>
      <c r="F36" s="19">
        <f>SUBTOTAL(9,F32:F35)</f>
        <v>101914</v>
      </c>
      <c r="G36" s="19">
        <f>SUBTOTAL(9,G32:G35)</f>
        <v>0</v>
      </c>
      <c r="H36" s="19">
        <f>SUBTOTAL(9,H32:H35)</f>
        <v>0</v>
      </c>
      <c r="I36" s="17"/>
      <c r="J36" s="19">
        <f>SUBTOTAL(9,J32:J35)</f>
        <v>101914</v>
      </c>
      <c r="K36" s="17"/>
      <c r="L36" s="17"/>
    </row>
    <row r="37" spans="1:12" s="6" customFormat="1" ht="11.5" outlineLevel="2" x14ac:dyDescent="0.25">
      <c r="A37" s="9"/>
      <c r="B37" s="10" t="s">
        <v>23</v>
      </c>
      <c r="C37" s="11" t="s">
        <v>14</v>
      </c>
      <c r="D37" s="12">
        <v>55200</v>
      </c>
      <c r="E37" s="13">
        <v>45747</v>
      </c>
      <c r="F37" s="10">
        <v>1104</v>
      </c>
      <c r="G37" s="10">
        <v>0</v>
      </c>
      <c r="H37" s="10">
        <v>0</v>
      </c>
      <c r="I37" s="10">
        <v>2</v>
      </c>
      <c r="J37" s="10">
        <v>1104</v>
      </c>
      <c r="K37" s="14">
        <v>45747</v>
      </c>
      <c r="L37" s="15" t="s">
        <v>15</v>
      </c>
    </row>
    <row r="38" spans="1:12" s="6" customFormat="1" ht="11.5" outlineLevel="2" x14ac:dyDescent="0.25">
      <c r="A38" s="9"/>
      <c r="B38" s="16" t="s">
        <v>48</v>
      </c>
      <c r="C38" s="17"/>
      <c r="D38" s="18">
        <f>SUBTOTAL(9,D37:D37)</f>
        <v>55200</v>
      </c>
      <c r="E38" s="17"/>
      <c r="F38" s="19">
        <f>SUBTOTAL(9,F37:F37)</f>
        <v>1104</v>
      </c>
      <c r="G38" s="19">
        <f>SUBTOTAL(9,G37:G37)</f>
        <v>0</v>
      </c>
      <c r="H38" s="19">
        <f>SUBTOTAL(9,H37:H37)</f>
        <v>0</v>
      </c>
      <c r="I38" s="17"/>
      <c r="J38" s="19">
        <f>SUBTOTAL(9,J37:J37)</f>
        <v>1104</v>
      </c>
      <c r="K38" s="17"/>
      <c r="L38" s="17"/>
    </row>
    <row r="39" spans="1:12" s="6" customFormat="1" ht="11.5" outlineLevel="2" x14ac:dyDescent="0.25">
      <c r="A39" s="9"/>
      <c r="B39" s="10" t="s">
        <v>24</v>
      </c>
      <c r="C39" s="11" t="s">
        <v>25</v>
      </c>
      <c r="D39" s="12">
        <v>31500</v>
      </c>
      <c r="E39" s="13">
        <v>45657</v>
      </c>
      <c r="F39" s="10">
        <v>3150</v>
      </c>
      <c r="G39" s="10">
        <v>0</v>
      </c>
      <c r="H39" s="10">
        <v>0</v>
      </c>
      <c r="I39" s="10">
        <v>10</v>
      </c>
      <c r="J39" s="10">
        <v>3150</v>
      </c>
      <c r="K39" s="14">
        <v>45657</v>
      </c>
      <c r="L39" s="15" t="s">
        <v>15</v>
      </c>
    </row>
    <row r="40" spans="1:12" s="6" customFormat="1" ht="11.5" outlineLevel="2" x14ac:dyDescent="0.25">
      <c r="A40" s="9"/>
      <c r="B40" s="16" t="s">
        <v>49</v>
      </c>
      <c r="C40" s="17"/>
      <c r="D40" s="18">
        <f>SUBTOTAL(9,D39:D39)</f>
        <v>31500</v>
      </c>
      <c r="E40" s="17"/>
      <c r="F40" s="19">
        <f>SUBTOTAL(9,F39:F39)</f>
        <v>3150</v>
      </c>
      <c r="G40" s="19">
        <f>SUBTOTAL(9,G39:G39)</f>
        <v>0</v>
      </c>
      <c r="H40" s="19">
        <f>SUBTOTAL(9,H39:H39)</f>
        <v>0</v>
      </c>
      <c r="I40" s="17"/>
      <c r="J40" s="19">
        <f>SUBTOTAL(9,J39:J39)</f>
        <v>3150</v>
      </c>
      <c r="K40" s="17"/>
      <c r="L40" s="17"/>
    </row>
    <row r="41" spans="1:12" s="6" customFormat="1" ht="11.5" outlineLevel="2" x14ac:dyDescent="0.25">
      <c r="A41" s="9"/>
      <c r="B41" s="10" t="s">
        <v>26</v>
      </c>
      <c r="C41" s="11" t="s">
        <v>14</v>
      </c>
      <c r="D41" s="12">
        <v>111532</v>
      </c>
      <c r="E41" s="13">
        <v>45747</v>
      </c>
      <c r="F41" s="10">
        <v>2231</v>
      </c>
      <c r="G41" s="10">
        <v>0</v>
      </c>
      <c r="H41" s="10">
        <v>0</v>
      </c>
      <c r="I41" s="10">
        <v>2</v>
      </c>
      <c r="J41" s="10">
        <v>2231</v>
      </c>
      <c r="K41" s="14">
        <v>45747</v>
      </c>
      <c r="L41" s="15" t="s">
        <v>15</v>
      </c>
    </row>
    <row r="42" spans="1:12" s="6" customFormat="1" ht="11.5" outlineLevel="2" x14ac:dyDescent="0.25">
      <c r="A42" s="9"/>
      <c r="B42" s="16" t="s">
        <v>50</v>
      </c>
      <c r="C42" s="17"/>
      <c r="D42" s="18">
        <f>SUBTOTAL(9,D41:D41)</f>
        <v>111532</v>
      </c>
      <c r="E42" s="17"/>
      <c r="F42" s="19">
        <f>SUBTOTAL(9,F41:F41)</f>
        <v>2231</v>
      </c>
      <c r="G42" s="19">
        <f>SUBTOTAL(9,G41:G41)</f>
        <v>0</v>
      </c>
      <c r="H42" s="19">
        <f>SUBTOTAL(9,H41:H41)</f>
        <v>0</v>
      </c>
      <c r="I42" s="17"/>
      <c r="J42" s="19">
        <f>SUBTOTAL(9,J41:J41)</f>
        <v>2231</v>
      </c>
      <c r="K42" s="17"/>
      <c r="L42" s="17"/>
    </row>
    <row r="43" spans="1:12" s="6" customFormat="1" ht="11.5" outlineLevel="2" x14ac:dyDescent="0.25">
      <c r="A43" s="9"/>
      <c r="B43" s="20" t="s">
        <v>70</v>
      </c>
      <c r="C43" s="11" t="s">
        <v>18</v>
      </c>
      <c r="D43" s="12">
        <v>472888</v>
      </c>
      <c r="E43" s="13">
        <v>45473</v>
      </c>
      <c r="F43" s="10">
        <v>47289</v>
      </c>
      <c r="G43" s="10">
        <v>0</v>
      </c>
      <c r="H43" s="10">
        <v>0</v>
      </c>
      <c r="I43" s="10">
        <v>10</v>
      </c>
      <c r="J43" s="10">
        <v>47289</v>
      </c>
      <c r="K43" s="14">
        <v>45473</v>
      </c>
      <c r="L43" s="15" t="s">
        <v>15</v>
      </c>
    </row>
    <row r="44" spans="1:12" s="6" customFormat="1" ht="11.5" outlineLevel="2" x14ac:dyDescent="0.25">
      <c r="A44" s="9"/>
      <c r="B44" s="20" t="s">
        <v>70</v>
      </c>
      <c r="C44" s="11" t="s">
        <v>18</v>
      </c>
      <c r="D44" s="12">
        <v>491696</v>
      </c>
      <c r="E44" s="13">
        <v>45565</v>
      </c>
      <c r="F44" s="10">
        <v>49170</v>
      </c>
      <c r="G44" s="10">
        <v>0</v>
      </c>
      <c r="H44" s="10">
        <v>0</v>
      </c>
      <c r="I44" s="10">
        <v>10</v>
      </c>
      <c r="J44" s="10">
        <v>49170</v>
      </c>
      <c r="K44" s="14">
        <v>45565</v>
      </c>
      <c r="L44" s="15" t="s">
        <v>15</v>
      </c>
    </row>
    <row r="45" spans="1:12" s="6" customFormat="1" ht="11.5" outlineLevel="2" x14ac:dyDescent="0.25">
      <c r="A45" s="9"/>
      <c r="B45" s="20" t="s">
        <v>70</v>
      </c>
      <c r="C45" s="11" t="s">
        <v>18</v>
      </c>
      <c r="D45" s="12">
        <v>505307</v>
      </c>
      <c r="E45" s="13">
        <v>45657</v>
      </c>
      <c r="F45" s="10">
        <v>50531</v>
      </c>
      <c r="G45" s="10">
        <v>0</v>
      </c>
      <c r="H45" s="10">
        <v>0</v>
      </c>
      <c r="I45" s="10">
        <v>10</v>
      </c>
      <c r="J45" s="10">
        <v>50531</v>
      </c>
      <c r="K45" s="14">
        <v>45657</v>
      </c>
      <c r="L45" s="15" t="s">
        <v>15</v>
      </c>
    </row>
    <row r="46" spans="1:12" s="6" customFormat="1" ht="11.5" outlineLevel="2" x14ac:dyDescent="0.25">
      <c r="A46" s="9"/>
      <c r="B46" s="20" t="s">
        <v>70</v>
      </c>
      <c r="C46" s="11" t="s">
        <v>18</v>
      </c>
      <c r="D46" s="12">
        <v>509301</v>
      </c>
      <c r="E46" s="13">
        <v>45747</v>
      </c>
      <c r="F46" s="10">
        <v>50930</v>
      </c>
      <c r="G46" s="10">
        <v>0</v>
      </c>
      <c r="H46" s="10">
        <v>0</v>
      </c>
      <c r="I46" s="10">
        <v>10</v>
      </c>
      <c r="J46" s="10">
        <v>50930</v>
      </c>
      <c r="K46" s="14">
        <v>45747</v>
      </c>
      <c r="L46" s="15" t="s">
        <v>15</v>
      </c>
    </row>
    <row r="47" spans="1:12" s="6" customFormat="1" ht="11.5" outlineLevel="2" x14ac:dyDescent="0.25">
      <c r="A47" s="9"/>
      <c r="B47" s="16" t="s">
        <v>79</v>
      </c>
      <c r="C47" s="17"/>
      <c r="D47" s="18">
        <f>SUBTOTAL(9,D43:D46)</f>
        <v>1979192</v>
      </c>
      <c r="E47" s="17"/>
      <c r="F47" s="19">
        <f>SUBTOTAL(9,F43:F46)</f>
        <v>197920</v>
      </c>
      <c r="G47" s="19">
        <f>SUBTOTAL(9,G43:G46)</f>
        <v>0</v>
      </c>
      <c r="H47" s="19">
        <f>SUBTOTAL(9,H43:H46)</f>
        <v>0</v>
      </c>
      <c r="I47" s="17"/>
      <c r="J47" s="19">
        <f>SUBTOTAL(9,J43:J46)</f>
        <v>197920</v>
      </c>
      <c r="K47" s="17"/>
      <c r="L47" s="17"/>
    </row>
    <row r="48" spans="1:12" s="6" customFormat="1" ht="11.5" outlineLevel="2" x14ac:dyDescent="0.25">
      <c r="A48" s="9"/>
      <c r="B48" s="20" t="s">
        <v>27</v>
      </c>
      <c r="C48" s="11" t="s">
        <v>17</v>
      </c>
      <c r="D48" s="12">
        <v>33675</v>
      </c>
      <c r="E48" s="13">
        <v>45412</v>
      </c>
      <c r="F48" s="10">
        <v>674</v>
      </c>
      <c r="G48" s="10">
        <v>0</v>
      </c>
      <c r="H48" s="10">
        <v>0</v>
      </c>
      <c r="I48" s="10">
        <v>2</v>
      </c>
      <c r="J48" s="10">
        <v>674</v>
      </c>
      <c r="K48" s="14">
        <v>45412</v>
      </c>
      <c r="L48" s="15" t="s">
        <v>15</v>
      </c>
    </row>
    <row r="49" spans="1:12" s="6" customFormat="1" ht="11.5" outlineLevel="2" x14ac:dyDescent="0.25">
      <c r="A49" s="9"/>
      <c r="B49" s="21" t="s">
        <v>27</v>
      </c>
      <c r="C49" s="11" t="s">
        <v>17</v>
      </c>
      <c r="D49" s="12">
        <v>8847</v>
      </c>
      <c r="E49" s="13">
        <v>45443</v>
      </c>
      <c r="F49" s="10">
        <v>177</v>
      </c>
      <c r="G49" s="10">
        <v>0</v>
      </c>
      <c r="H49" s="10">
        <v>0</v>
      </c>
      <c r="I49" s="10">
        <v>2</v>
      </c>
      <c r="J49" s="10">
        <v>177</v>
      </c>
      <c r="K49" s="14">
        <v>45443</v>
      </c>
      <c r="L49" s="15" t="s">
        <v>15</v>
      </c>
    </row>
    <row r="50" spans="1:12" s="6" customFormat="1" ht="11.5" outlineLevel="2" x14ac:dyDescent="0.25">
      <c r="A50" s="9"/>
      <c r="B50" s="21" t="s">
        <v>27</v>
      </c>
      <c r="C50" s="11" t="s">
        <v>17</v>
      </c>
      <c r="D50" s="12">
        <v>44680</v>
      </c>
      <c r="E50" s="13">
        <v>45473</v>
      </c>
      <c r="F50" s="10">
        <v>894</v>
      </c>
      <c r="G50" s="10">
        <v>0</v>
      </c>
      <c r="H50" s="10">
        <v>0</v>
      </c>
      <c r="I50" s="10">
        <v>2</v>
      </c>
      <c r="J50" s="10">
        <v>894</v>
      </c>
      <c r="K50" s="14">
        <v>45473</v>
      </c>
      <c r="L50" s="15" t="s">
        <v>15</v>
      </c>
    </row>
    <row r="51" spans="1:12" s="6" customFormat="1" ht="11.5" outlineLevel="2" x14ac:dyDescent="0.25">
      <c r="A51" s="9"/>
      <c r="B51" s="21" t="s">
        <v>27</v>
      </c>
      <c r="C51" s="11" t="s">
        <v>17</v>
      </c>
      <c r="D51" s="12">
        <v>10601</v>
      </c>
      <c r="E51" s="13">
        <v>45504</v>
      </c>
      <c r="F51" s="10">
        <v>213</v>
      </c>
      <c r="G51" s="10">
        <v>0</v>
      </c>
      <c r="H51" s="10">
        <v>0</v>
      </c>
      <c r="I51" s="10">
        <v>2</v>
      </c>
      <c r="J51" s="10">
        <v>213</v>
      </c>
      <c r="K51" s="14">
        <v>45504</v>
      </c>
      <c r="L51" s="15" t="s">
        <v>15</v>
      </c>
    </row>
    <row r="52" spans="1:12" s="6" customFormat="1" ht="11.5" outlineLevel="2" x14ac:dyDescent="0.25">
      <c r="A52" s="9"/>
      <c r="B52" s="21" t="s">
        <v>27</v>
      </c>
      <c r="C52" s="11" t="s">
        <v>17</v>
      </c>
      <c r="D52" s="12">
        <v>40201</v>
      </c>
      <c r="E52" s="13">
        <v>45535</v>
      </c>
      <c r="F52" s="10">
        <v>804</v>
      </c>
      <c r="G52" s="10">
        <v>0</v>
      </c>
      <c r="H52" s="10">
        <v>0</v>
      </c>
      <c r="I52" s="10">
        <v>2</v>
      </c>
      <c r="J52" s="10">
        <v>804</v>
      </c>
      <c r="K52" s="14">
        <v>45535</v>
      </c>
      <c r="L52" s="15" t="s">
        <v>15</v>
      </c>
    </row>
    <row r="53" spans="1:12" s="6" customFormat="1" ht="11.5" outlineLevel="2" x14ac:dyDescent="0.25">
      <c r="A53" s="9"/>
      <c r="B53" s="21" t="s">
        <v>27</v>
      </c>
      <c r="C53" s="11" t="s">
        <v>17</v>
      </c>
      <c r="D53" s="12">
        <v>26085</v>
      </c>
      <c r="E53" s="13">
        <v>45565</v>
      </c>
      <c r="F53" s="10">
        <v>522</v>
      </c>
      <c r="G53" s="10">
        <v>0</v>
      </c>
      <c r="H53" s="10">
        <v>0</v>
      </c>
      <c r="I53" s="10">
        <v>2</v>
      </c>
      <c r="J53" s="10">
        <v>522</v>
      </c>
      <c r="K53" s="14">
        <v>45565</v>
      </c>
      <c r="L53" s="15" t="s">
        <v>15</v>
      </c>
    </row>
    <row r="54" spans="1:12" s="6" customFormat="1" ht="11.5" outlineLevel="2" x14ac:dyDescent="0.25">
      <c r="A54" s="9"/>
      <c r="B54" s="21" t="s">
        <v>27</v>
      </c>
      <c r="C54" s="11" t="s">
        <v>17</v>
      </c>
      <c r="D54" s="12">
        <v>42830</v>
      </c>
      <c r="E54" s="13">
        <v>45596</v>
      </c>
      <c r="F54" s="10">
        <v>857</v>
      </c>
      <c r="G54" s="10">
        <v>0</v>
      </c>
      <c r="H54" s="10">
        <v>0</v>
      </c>
      <c r="I54" s="10">
        <v>2</v>
      </c>
      <c r="J54" s="10">
        <v>857</v>
      </c>
      <c r="K54" s="14">
        <v>45596</v>
      </c>
      <c r="L54" s="15" t="s">
        <v>15</v>
      </c>
    </row>
    <row r="55" spans="1:12" s="6" customFormat="1" ht="11.5" outlineLevel="2" x14ac:dyDescent="0.25">
      <c r="A55" s="9"/>
      <c r="B55" s="21" t="s">
        <v>27</v>
      </c>
      <c r="C55" s="11" t="s">
        <v>17</v>
      </c>
      <c r="D55" s="12">
        <v>47468</v>
      </c>
      <c r="E55" s="13">
        <v>45626</v>
      </c>
      <c r="F55" s="10">
        <v>950</v>
      </c>
      <c r="G55" s="10">
        <v>0</v>
      </c>
      <c r="H55" s="10">
        <v>0</v>
      </c>
      <c r="I55" s="10">
        <v>2</v>
      </c>
      <c r="J55" s="10">
        <v>950</v>
      </c>
      <c r="K55" s="14">
        <v>45626</v>
      </c>
      <c r="L55" s="15" t="s">
        <v>15</v>
      </c>
    </row>
    <row r="56" spans="1:12" s="6" customFormat="1" ht="11.5" outlineLevel="2" x14ac:dyDescent="0.25">
      <c r="A56" s="9"/>
      <c r="B56" s="21" t="s">
        <v>27</v>
      </c>
      <c r="C56" s="11" t="s">
        <v>17</v>
      </c>
      <c r="D56" s="12">
        <v>27508</v>
      </c>
      <c r="E56" s="13">
        <v>45657</v>
      </c>
      <c r="F56" s="10">
        <v>551</v>
      </c>
      <c r="G56" s="10">
        <v>0</v>
      </c>
      <c r="H56" s="10">
        <v>0</v>
      </c>
      <c r="I56" s="10">
        <v>2</v>
      </c>
      <c r="J56" s="10">
        <v>551</v>
      </c>
      <c r="K56" s="14">
        <v>45657</v>
      </c>
      <c r="L56" s="15" t="s">
        <v>15</v>
      </c>
    </row>
    <row r="57" spans="1:12" s="6" customFormat="1" ht="11.5" outlineLevel="2" x14ac:dyDescent="0.25">
      <c r="A57" s="9"/>
      <c r="B57" s="21" t="s">
        <v>27</v>
      </c>
      <c r="C57" s="11" t="s">
        <v>17</v>
      </c>
      <c r="D57" s="12">
        <v>9742</v>
      </c>
      <c r="E57" s="13">
        <v>45688</v>
      </c>
      <c r="F57" s="10">
        <v>195</v>
      </c>
      <c r="G57" s="10">
        <v>0</v>
      </c>
      <c r="H57" s="10">
        <v>0</v>
      </c>
      <c r="I57" s="10">
        <v>2</v>
      </c>
      <c r="J57" s="10">
        <v>195</v>
      </c>
      <c r="K57" s="14">
        <v>45688</v>
      </c>
      <c r="L57" s="15" t="s">
        <v>15</v>
      </c>
    </row>
    <row r="58" spans="1:12" s="6" customFormat="1" ht="11.5" outlineLevel="2" x14ac:dyDescent="0.25">
      <c r="A58" s="9"/>
      <c r="B58" s="21" t="s">
        <v>27</v>
      </c>
      <c r="C58" s="11" t="s">
        <v>17</v>
      </c>
      <c r="D58" s="12">
        <v>18863</v>
      </c>
      <c r="E58" s="13">
        <v>45716</v>
      </c>
      <c r="F58" s="10">
        <v>377</v>
      </c>
      <c r="G58" s="10">
        <v>0</v>
      </c>
      <c r="H58" s="10">
        <v>0</v>
      </c>
      <c r="I58" s="10">
        <v>2</v>
      </c>
      <c r="J58" s="10">
        <v>377</v>
      </c>
      <c r="K58" s="14">
        <v>45716</v>
      </c>
      <c r="L58" s="15" t="s">
        <v>15</v>
      </c>
    </row>
    <row r="59" spans="1:12" s="6" customFormat="1" ht="11.5" outlineLevel="2" x14ac:dyDescent="0.25">
      <c r="A59" s="9"/>
      <c r="B59" s="10" t="s">
        <v>27</v>
      </c>
      <c r="C59" s="11" t="s">
        <v>17</v>
      </c>
      <c r="D59" s="12">
        <v>21995</v>
      </c>
      <c r="E59" s="13">
        <v>45747</v>
      </c>
      <c r="F59" s="10">
        <v>440</v>
      </c>
      <c r="G59" s="10">
        <v>0</v>
      </c>
      <c r="H59" s="10">
        <v>0</v>
      </c>
      <c r="I59" s="10">
        <v>2</v>
      </c>
      <c r="J59" s="10">
        <v>440</v>
      </c>
      <c r="K59" s="14">
        <v>45747</v>
      </c>
      <c r="L59" s="15" t="s">
        <v>15</v>
      </c>
    </row>
    <row r="60" spans="1:12" s="6" customFormat="1" ht="11.5" outlineLevel="2" x14ac:dyDescent="0.25">
      <c r="A60" s="9"/>
      <c r="B60" s="16" t="s">
        <v>51</v>
      </c>
      <c r="C60" s="17"/>
      <c r="D60" s="18">
        <f>SUBTOTAL(9,D48:D59)</f>
        <v>332495</v>
      </c>
      <c r="E60" s="17"/>
      <c r="F60" s="19">
        <f>SUBTOTAL(9,F48:F59)</f>
        <v>6654</v>
      </c>
      <c r="G60" s="19">
        <f>SUBTOTAL(9,G48:G59)</f>
        <v>0</v>
      </c>
      <c r="H60" s="19">
        <f>SUBTOTAL(9,H48:H59)</f>
        <v>0</v>
      </c>
      <c r="I60" s="17"/>
      <c r="J60" s="19">
        <f>SUBTOTAL(9,J48:J59)</f>
        <v>6654</v>
      </c>
      <c r="K60" s="17"/>
      <c r="L60" s="17"/>
    </row>
    <row r="61" spans="1:12" s="6" customFormat="1" ht="11.5" outlineLevel="2" x14ac:dyDescent="0.25">
      <c r="A61" s="9"/>
      <c r="B61" s="10" t="s">
        <v>28</v>
      </c>
      <c r="C61" s="11" t="s">
        <v>14</v>
      </c>
      <c r="D61" s="12">
        <v>17626</v>
      </c>
      <c r="E61" s="13">
        <v>45747</v>
      </c>
      <c r="F61" s="10">
        <v>353</v>
      </c>
      <c r="G61" s="10">
        <v>0</v>
      </c>
      <c r="H61" s="10">
        <v>0</v>
      </c>
      <c r="I61" s="10">
        <v>2</v>
      </c>
      <c r="J61" s="10">
        <v>353</v>
      </c>
      <c r="K61" s="14">
        <v>45747</v>
      </c>
      <c r="L61" s="15" t="s">
        <v>15</v>
      </c>
    </row>
    <row r="62" spans="1:12" s="6" customFormat="1" ht="11.5" outlineLevel="2" x14ac:dyDescent="0.25">
      <c r="A62" s="9"/>
      <c r="B62" s="16" t="s">
        <v>52</v>
      </c>
      <c r="C62" s="17"/>
      <c r="D62" s="18">
        <f>SUBTOTAL(9,D61:D61)</f>
        <v>17626</v>
      </c>
      <c r="E62" s="17"/>
      <c r="F62" s="19">
        <f>SUBTOTAL(9,F61:F61)</f>
        <v>353</v>
      </c>
      <c r="G62" s="19">
        <f>SUBTOTAL(9,G61:G61)</f>
        <v>0</v>
      </c>
      <c r="H62" s="19">
        <f>SUBTOTAL(9,H61:H61)</f>
        <v>0</v>
      </c>
      <c r="I62" s="17"/>
      <c r="J62" s="19">
        <f>SUBTOTAL(9,J61:J61)</f>
        <v>353</v>
      </c>
      <c r="K62" s="17"/>
      <c r="L62" s="17"/>
    </row>
    <row r="63" spans="1:12" s="6" customFormat="1" ht="11.5" outlineLevel="2" x14ac:dyDescent="0.25">
      <c r="A63" s="9"/>
      <c r="B63" s="10" t="s">
        <v>29</v>
      </c>
      <c r="C63" s="11" t="s">
        <v>14</v>
      </c>
      <c r="D63" s="12">
        <v>29484</v>
      </c>
      <c r="E63" s="13">
        <v>45747</v>
      </c>
      <c r="F63" s="10">
        <v>590</v>
      </c>
      <c r="G63" s="10">
        <v>0</v>
      </c>
      <c r="H63" s="10">
        <v>0</v>
      </c>
      <c r="I63" s="10">
        <v>2</v>
      </c>
      <c r="J63" s="10">
        <v>590</v>
      </c>
      <c r="K63" s="14">
        <v>45747</v>
      </c>
      <c r="L63" s="15" t="s">
        <v>15</v>
      </c>
    </row>
    <row r="64" spans="1:12" s="6" customFormat="1" ht="11.5" outlineLevel="2" x14ac:dyDescent="0.25">
      <c r="A64" s="9"/>
      <c r="B64" s="16" t="s">
        <v>53</v>
      </c>
      <c r="C64" s="17"/>
      <c r="D64" s="18">
        <f>SUBTOTAL(9,D63:D63)</f>
        <v>29484</v>
      </c>
      <c r="E64" s="17"/>
      <c r="F64" s="19">
        <f>SUBTOTAL(9,F63:F63)</f>
        <v>590</v>
      </c>
      <c r="G64" s="19">
        <f>SUBTOTAL(9,G63:G63)</f>
        <v>0</v>
      </c>
      <c r="H64" s="19">
        <f>SUBTOTAL(9,H63:H63)</f>
        <v>0</v>
      </c>
      <c r="I64" s="17"/>
      <c r="J64" s="19">
        <f>SUBTOTAL(9,J63:J63)</f>
        <v>590</v>
      </c>
      <c r="K64" s="17"/>
      <c r="L64" s="17"/>
    </row>
    <row r="65" spans="1:12" s="6" customFormat="1" ht="11.5" outlineLevel="2" x14ac:dyDescent="0.25">
      <c r="A65" s="9"/>
      <c r="B65" s="10" t="s">
        <v>30</v>
      </c>
      <c r="C65" s="11" t="s">
        <v>14</v>
      </c>
      <c r="D65" s="12">
        <v>75700</v>
      </c>
      <c r="E65" s="13">
        <v>45747</v>
      </c>
      <c r="F65" s="10">
        <v>1514</v>
      </c>
      <c r="G65" s="10">
        <v>0</v>
      </c>
      <c r="H65" s="10">
        <v>0</v>
      </c>
      <c r="I65" s="10">
        <v>2</v>
      </c>
      <c r="J65" s="10">
        <v>1514</v>
      </c>
      <c r="K65" s="14">
        <v>45747</v>
      </c>
      <c r="L65" s="15" t="s">
        <v>15</v>
      </c>
    </row>
    <row r="66" spans="1:12" s="6" customFormat="1" ht="11.5" outlineLevel="2" x14ac:dyDescent="0.25">
      <c r="A66" s="9"/>
      <c r="B66" s="16" t="s">
        <v>54</v>
      </c>
      <c r="C66" s="17"/>
      <c r="D66" s="18">
        <f>SUBTOTAL(9,D65:D65)</f>
        <v>75700</v>
      </c>
      <c r="E66" s="17"/>
      <c r="F66" s="19">
        <f>SUBTOTAL(9,F65:F65)</f>
        <v>1514</v>
      </c>
      <c r="G66" s="19">
        <f>SUBTOTAL(9,G65:G65)</f>
        <v>0</v>
      </c>
      <c r="H66" s="19">
        <f>SUBTOTAL(9,H65:H65)</f>
        <v>0</v>
      </c>
      <c r="I66" s="17"/>
      <c r="J66" s="19">
        <f>SUBTOTAL(9,J65:J65)</f>
        <v>1514</v>
      </c>
      <c r="K66" s="17"/>
      <c r="L66" s="17"/>
    </row>
    <row r="67" spans="1:12" s="6" customFormat="1" ht="11.5" outlineLevel="2" x14ac:dyDescent="0.25">
      <c r="A67" s="9"/>
      <c r="B67" s="20" t="s">
        <v>71</v>
      </c>
      <c r="C67" s="11" t="s">
        <v>18</v>
      </c>
      <c r="D67" s="12">
        <v>19858</v>
      </c>
      <c r="E67" s="13">
        <v>45473</v>
      </c>
      <c r="F67" s="10">
        <v>1986</v>
      </c>
      <c r="G67" s="10">
        <v>0</v>
      </c>
      <c r="H67" s="10">
        <v>0</v>
      </c>
      <c r="I67" s="10">
        <v>10</v>
      </c>
      <c r="J67" s="10">
        <v>1986</v>
      </c>
      <c r="K67" s="14">
        <v>45473</v>
      </c>
      <c r="L67" s="15" t="s">
        <v>15</v>
      </c>
    </row>
    <row r="68" spans="1:12" s="6" customFormat="1" ht="11.5" outlineLevel="2" x14ac:dyDescent="0.25">
      <c r="A68" s="9"/>
      <c r="B68" s="21" t="s">
        <v>71</v>
      </c>
      <c r="C68" s="11" t="s">
        <v>18</v>
      </c>
      <c r="D68" s="12">
        <v>20416</v>
      </c>
      <c r="E68" s="13">
        <v>45565</v>
      </c>
      <c r="F68" s="10">
        <v>2042</v>
      </c>
      <c r="G68" s="10">
        <v>0</v>
      </c>
      <c r="H68" s="10">
        <v>0</v>
      </c>
      <c r="I68" s="10">
        <v>10</v>
      </c>
      <c r="J68" s="10">
        <v>2042</v>
      </c>
      <c r="K68" s="14">
        <v>45565</v>
      </c>
      <c r="L68" s="15" t="s">
        <v>15</v>
      </c>
    </row>
    <row r="69" spans="1:12" s="6" customFormat="1" ht="11.5" outlineLevel="2" x14ac:dyDescent="0.25">
      <c r="A69" s="9"/>
      <c r="B69" s="21" t="s">
        <v>71</v>
      </c>
      <c r="C69" s="11" t="s">
        <v>18</v>
      </c>
      <c r="D69" s="12">
        <v>20757</v>
      </c>
      <c r="E69" s="13">
        <v>45657</v>
      </c>
      <c r="F69" s="10">
        <v>2076</v>
      </c>
      <c r="G69" s="10">
        <v>0</v>
      </c>
      <c r="H69" s="10">
        <v>0</v>
      </c>
      <c r="I69" s="10">
        <v>10</v>
      </c>
      <c r="J69" s="10">
        <v>2076</v>
      </c>
      <c r="K69" s="14">
        <v>45657</v>
      </c>
      <c r="L69" s="15" t="s">
        <v>15</v>
      </c>
    </row>
    <row r="70" spans="1:12" s="6" customFormat="1" ht="11.5" outlineLevel="2" x14ac:dyDescent="0.25">
      <c r="A70" s="9"/>
      <c r="B70" s="10" t="s">
        <v>71</v>
      </c>
      <c r="C70" s="11" t="s">
        <v>18</v>
      </c>
      <c r="D70" s="12">
        <v>20638</v>
      </c>
      <c r="E70" s="13">
        <v>45747</v>
      </c>
      <c r="F70" s="10">
        <v>2064</v>
      </c>
      <c r="G70" s="10">
        <v>0</v>
      </c>
      <c r="H70" s="10">
        <v>0</v>
      </c>
      <c r="I70" s="10">
        <v>10</v>
      </c>
      <c r="J70" s="10">
        <v>2064</v>
      </c>
      <c r="K70" s="14">
        <v>45747</v>
      </c>
      <c r="L70" s="15" t="s">
        <v>15</v>
      </c>
    </row>
    <row r="71" spans="1:12" s="6" customFormat="1" ht="11.5" outlineLevel="2" x14ac:dyDescent="0.25">
      <c r="A71" s="9"/>
      <c r="B71" s="16" t="s">
        <v>80</v>
      </c>
      <c r="C71" s="17"/>
      <c r="D71" s="18">
        <f>SUBTOTAL(9,D67:D70)</f>
        <v>81669</v>
      </c>
      <c r="E71" s="17"/>
      <c r="F71" s="19">
        <f>SUBTOTAL(9,F67:F70)</f>
        <v>8168</v>
      </c>
      <c r="G71" s="19">
        <f>SUBTOTAL(9,G67:G70)</f>
        <v>0</v>
      </c>
      <c r="H71" s="19">
        <f>SUBTOTAL(9,H67:H70)</f>
        <v>0</v>
      </c>
      <c r="I71" s="17"/>
      <c r="J71" s="19">
        <f>SUBTOTAL(9,J67:J70)</f>
        <v>8168</v>
      </c>
      <c r="K71" s="17"/>
      <c r="L71" s="17"/>
    </row>
    <row r="72" spans="1:12" s="6" customFormat="1" ht="11.5" outlineLevel="2" x14ac:dyDescent="0.25">
      <c r="A72" s="9"/>
      <c r="B72" s="10" t="s">
        <v>31</v>
      </c>
      <c r="C72" s="11" t="s">
        <v>14</v>
      </c>
      <c r="D72" s="12">
        <v>510428</v>
      </c>
      <c r="E72" s="13">
        <v>45747</v>
      </c>
      <c r="F72" s="10">
        <v>10209</v>
      </c>
      <c r="G72" s="10">
        <v>0</v>
      </c>
      <c r="H72" s="10">
        <v>0</v>
      </c>
      <c r="I72" s="10">
        <v>2</v>
      </c>
      <c r="J72" s="10">
        <v>10209</v>
      </c>
      <c r="K72" s="14">
        <v>45747</v>
      </c>
      <c r="L72" s="15" t="s">
        <v>15</v>
      </c>
    </row>
    <row r="73" spans="1:12" s="6" customFormat="1" ht="11.5" outlineLevel="2" x14ac:dyDescent="0.25">
      <c r="A73" s="9"/>
      <c r="B73" s="16" t="s">
        <v>55</v>
      </c>
      <c r="C73" s="17"/>
      <c r="D73" s="18">
        <f>SUBTOTAL(9,D72:D72)</f>
        <v>510428</v>
      </c>
      <c r="E73" s="17"/>
      <c r="F73" s="19">
        <f>SUBTOTAL(9,F72:F72)</f>
        <v>10209</v>
      </c>
      <c r="G73" s="19">
        <f>SUBTOTAL(9,G72:G72)</f>
        <v>0</v>
      </c>
      <c r="H73" s="19">
        <f>SUBTOTAL(9,H72:H72)</f>
        <v>0</v>
      </c>
      <c r="I73" s="17"/>
      <c r="J73" s="19">
        <f>SUBTOTAL(9,J72:J72)</f>
        <v>10209</v>
      </c>
      <c r="K73" s="17"/>
      <c r="L73" s="17"/>
    </row>
    <row r="74" spans="1:12" s="6" customFormat="1" ht="11.5" outlineLevel="2" x14ac:dyDescent="0.25">
      <c r="A74" s="9"/>
      <c r="B74" s="20" t="s">
        <v>72</v>
      </c>
      <c r="C74" s="11" t="s">
        <v>18</v>
      </c>
      <c r="D74" s="12">
        <v>474682</v>
      </c>
      <c r="E74" s="13">
        <v>45565</v>
      </c>
      <c r="F74" s="10">
        <v>47468</v>
      </c>
      <c r="G74" s="10">
        <v>0</v>
      </c>
      <c r="H74" s="10">
        <v>0</v>
      </c>
      <c r="I74" s="10">
        <v>10</v>
      </c>
      <c r="J74" s="10">
        <v>47468</v>
      </c>
      <c r="K74" s="14">
        <v>45565</v>
      </c>
      <c r="L74" s="15" t="s">
        <v>15</v>
      </c>
    </row>
    <row r="75" spans="1:12" s="6" customFormat="1" ht="11.5" outlineLevel="2" x14ac:dyDescent="0.25">
      <c r="A75" s="9"/>
      <c r="B75" s="20" t="s">
        <v>72</v>
      </c>
      <c r="C75" s="11" t="s">
        <v>18</v>
      </c>
      <c r="D75" s="12">
        <v>488293</v>
      </c>
      <c r="E75" s="13">
        <v>45657</v>
      </c>
      <c r="F75" s="10">
        <v>48829</v>
      </c>
      <c r="G75" s="10">
        <v>0</v>
      </c>
      <c r="H75" s="10">
        <v>0</v>
      </c>
      <c r="I75" s="10">
        <v>10</v>
      </c>
      <c r="J75" s="10">
        <v>48829</v>
      </c>
      <c r="K75" s="14">
        <v>45657</v>
      </c>
      <c r="L75" s="15" t="s">
        <v>15</v>
      </c>
    </row>
    <row r="76" spans="1:12" s="6" customFormat="1" ht="11.5" outlineLevel="2" x14ac:dyDescent="0.25">
      <c r="A76" s="9"/>
      <c r="B76" s="20" t="s">
        <v>72</v>
      </c>
      <c r="C76" s="11" t="s">
        <v>18</v>
      </c>
      <c r="D76" s="12">
        <v>490993</v>
      </c>
      <c r="E76" s="13">
        <v>45747</v>
      </c>
      <c r="F76" s="10">
        <v>49099</v>
      </c>
      <c r="G76" s="10">
        <v>0</v>
      </c>
      <c r="H76" s="10">
        <v>0</v>
      </c>
      <c r="I76" s="10">
        <v>10</v>
      </c>
      <c r="J76" s="10">
        <v>49099</v>
      </c>
      <c r="K76" s="14">
        <v>45747</v>
      </c>
      <c r="L76" s="15" t="s">
        <v>15</v>
      </c>
    </row>
    <row r="77" spans="1:12" s="6" customFormat="1" ht="11.5" outlineLevel="2" x14ac:dyDescent="0.25">
      <c r="A77" s="9"/>
      <c r="B77" s="16" t="s">
        <v>81</v>
      </c>
      <c r="C77" s="17"/>
      <c r="D77" s="18">
        <f>SUBTOTAL(9,D74:D76)</f>
        <v>1453968</v>
      </c>
      <c r="E77" s="17"/>
      <c r="F77" s="19">
        <f>SUBTOTAL(9,F74:F76)</f>
        <v>145396</v>
      </c>
      <c r="G77" s="19">
        <f>SUBTOTAL(9,G74:G76)</f>
        <v>0</v>
      </c>
      <c r="H77" s="19">
        <f>SUBTOTAL(9,H74:H76)</f>
        <v>0</v>
      </c>
      <c r="I77" s="17"/>
      <c r="J77" s="19">
        <f>SUBTOTAL(9,J74:J76)</f>
        <v>145396</v>
      </c>
      <c r="K77" s="17"/>
      <c r="L77" s="17"/>
    </row>
    <row r="78" spans="1:12" s="6" customFormat="1" ht="11.5" outlineLevel="2" x14ac:dyDescent="0.25">
      <c r="A78" s="9"/>
      <c r="B78" s="20" t="s">
        <v>72</v>
      </c>
      <c r="C78" s="11" t="s">
        <v>18</v>
      </c>
      <c r="D78" s="12">
        <v>456060</v>
      </c>
      <c r="E78" s="13">
        <v>45473</v>
      </c>
      <c r="F78" s="10">
        <v>45606</v>
      </c>
      <c r="G78" s="10">
        <v>0</v>
      </c>
      <c r="H78" s="10">
        <v>0</v>
      </c>
      <c r="I78" s="10">
        <v>10</v>
      </c>
      <c r="J78" s="10">
        <v>45606</v>
      </c>
      <c r="K78" s="14">
        <v>45473</v>
      </c>
      <c r="L78" s="15" t="s">
        <v>15</v>
      </c>
    </row>
    <row r="79" spans="1:12" s="6" customFormat="1" ht="11.5" outlineLevel="2" x14ac:dyDescent="0.25">
      <c r="A79" s="9"/>
      <c r="B79" s="16" t="s">
        <v>81</v>
      </c>
      <c r="C79" s="17"/>
      <c r="D79" s="18">
        <f>SUBTOTAL(9,D78:D78)</f>
        <v>456060</v>
      </c>
      <c r="E79" s="17"/>
      <c r="F79" s="19">
        <f>SUBTOTAL(9,F78:F78)</f>
        <v>45606</v>
      </c>
      <c r="G79" s="19">
        <f>SUBTOTAL(9,G78:G78)</f>
        <v>0</v>
      </c>
      <c r="H79" s="19">
        <f>SUBTOTAL(9,H78:H78)</f>
        <v>0</v>
      </c>
      <c r="I79" s="17"/>
      <c r="J79" s="19">
        <f>SUBTOTAL(9,J78:J78)</f>
        <v>45606</v>
      </c>
      <c r="K79" s="17"/>
      <c r="L79" s="17"/>
    </row>
    <row r="80" spans="1:12" s="6" customFormat="1" ht="11.5" outlineLevel="2" x14ac:dyDescent="0.25">
      <c r="A80" s="9"/>
      <c r="B80" s="10" t="s">
        <v>32</v>
      </c>
      <c r="C80" s="11" t="s">
        <v>14</v>
      </c>
      <c r="D80" s="12">
        <v>19608</v>
      </c>
      <c r="E80" s="13">
        <v>45747</v>
      </c>
      <c r="F80" s="10">
        <v>392</v>
      </c>
      <c r="G80" s="10">
        <v>0</v>
      </c>
      <c r="H80" s="10">
        <v>0</v>
      </c>
      <c r="I80" s="10">
        <v>2</v>
      </c>
      <c r="J80" s="10">
        <v>392</v>
      </c>
      <c r="K80" s="14">
        <v>45747</v>
      </c>
      <c r="L80" s="15" t="s">
        <v>15</v>
      </c>
    </row>
    <row r="81" spans="1:12" s="6" customFormat="1" ht="11.5" outlineLevel="2" x14ac:dyDescent="0.25">
      <c r="A81" s="9"/>
      <c r="B81" s="16" t="s">
        <v>56</v>
      </c>
      <c r="C81" s="17"/>
      <c r="D81" s="18">
        <f>SUBTOTAL(9,D80:D80)</f>
        <v>19608</v>
      </c>
      <c r="E81" s="17"/>
      <c r="F81" s="19">
        <f>SUBTOTAL(9,F80:F80)</f>
        <v>392</v>
      </c>
      <c r="G81" s="19">
        <f>SUBTOTAL(9,G80:G80)</f>
        <v>0</v>
      </c>
      <c r="H81" s="19">
        <f>SUBTOTAL(9,H80:H80)</f>
        <v>0</v>
      </c>
      <c r="I81" s="17"/>
      <c r="J81" s="19">
        <f>SUBTOTAL(9,J80:J80)</f>
        <v>392</v>
      </c>
      <c r="K81" s="17"/>
      <c r="L81" s="17"/>
    </row>
    <row r="82" spans="1:12" s="6" customFormat="1" ht="11.5" outlineLevel="2" x14ac:dyDescent="0.25">
      <c r="A82" s="9"/>
      <c r="B82" s="20" t="s">
        <v>33</v>
      </c>
      <c r="C82" s="11" t="s">
        <v>34</v>
      </c>
      <c r="D82" s="12">
        <v>3000076</v>
      </c>
      <c r="E82" s="13">
        <v>45535</v>
      </c>
      <c r="F82" s="10">
        <v>3000</v>
      </c>
      <c r="G82" s="10">
        <v>0</v>
      </c>
      <c r="H82" s="10">
        <v>0</v>
      </c>
      <c r="I82" s="10">
        <v>0.1</v>
      </c>
      <c r="J82" s="10">
        <v>3000</v>
      </c>
      <c r="K82" s="14">
        <v>45535</v>
      </c>
      <c r="L82" s="15" t="s">
        <v>15</v>
      </c>
    </row>
    <row r="83" spans="1:12" s="6" customFormat="1" ht="11.5" outlineLevel="2" x14ac:dyDescent="0.25">
      <c r="A83" s="9"/>
      <c r="B83" s="21" t="s">
        <v>33</v>
      </c>
      <c r="C83" s="11" t="s">
        <v>34</v>
      </c>
      <c r="D83" s="12">
        <v>14544442</v>
      </c>
      <c r="E83" s="13">
        <v>45565</v>
      </c>
      <c r="F83" s="10">
        <v>14544</v>
      </c>
      <c r="G83" s="10">
        <v>0</v>
      </c>
      <c r="H83" s="10">
        <v>0</v>
      </c>
      <c r="I83" s="10">
        <v>0.1</v>
      </c>
      <c r="J83" s="10">
        <v>14544</v>
      </c>
      <c r="K83" s="14">
        <v>45565</v>
      </c>
      <c r="L83" s="15" t="s">
        <v>15</v>
      </c>
    </row>
    <row r="84" spans="1:12" s="6" customFormat="1" ht="11.5" outlineLevel="2" x14ac:dyDescent="0.25">
      <c r="A84" s="9"/>
      <c r="B84" s="21" t="s">
        <v>33</v>
      </c>
      <c r="C84" s="11" t="s">
        <v>34</v>
      </c>
      <c r="D84" s="12">
        <v>2462522</v>
      </c>
      <c r="E84" s="13">
        <v>45596</v>
      </c>
      <c r="F84" s="10">
        <v>2463</v>
      </c>
      <c r="G84" s="10">
        <v>0</v>
      </c>
      <c r="H84" s="10">
        <v>0</v>
      </c>
      <c r="I84" s="10">
        <v>0.1</v>
      </c>
      <c r="J84" s="10">
        <v>2463</v>
      </c>
      <c r="K84" s="14">
        <v>45596</v>
      </c>
      <c r="L84" s="15" t="s">
        <v>15</v>
      </c>
    </row>
    <row r="85" spans="1:12" s="6" customFormat="1" ht="11.5" outlineLevel="2" x14ac:dyDescent="0.25">
      <c r="A85" s="9"/>
      <c r="B85" s="21" t="s">
        <v>33</v>
      </c>
      <c r="C85" s="11" t="s">
        <v>34</v>
      </c>
      <c r="D85" s="12">
        <v>13796210</v>
      </c>
      <c r="E85" s="13">
        <v>45657</v>
      </c>
      <c r="F85" s="10">
        <v>13796</v>
      </c>
      <c r="G85" s="10">
        <v>0</v>
      </c>
      <c r="H85" s="10">
        <v>0</v>
      </c>
      <c r="I85" s="10">
        <v>0.1</v>
      </c>
      <c r="J85" s="10">
        <v>13796</v>
      </c>
      <c r="K85" s="14">
        <v>45657</v>
      </c>
      <c r="L85" s="15" t="s">
        <v>15</v>
      </c>
    </row>
    <row r="86" spans="1:12" s="6" customFormat="1" ht="11.5" outlineLevel="2" x14ac:dyDescent="0.25">
      <c r="A86" s="9"/>
      <c r="B86" s="21" t="s">
        <v>33</v>
      </c>
      <c r="C86" s="11" t="s">
        <v>34</v>
      </c>
      <c r="D86" s="12">
        <v>5947729</v>
      </c>
      <c r="E86" s="13">
        <v>45688</v>
      </c>
      <c r="F86" s="10">
        <v>5948</v>
      </c>
      <c r="G86" s="10">
        <v>0</v>
      </c>
      <c r="H86" s="10">
        <v>0</v>
      </c>
      <c r="I86" s="10">
        <v>0.1</v>
      </c>
      <c r="J86" s="10">
        <v>5948</v>
      </c>
      <c r="K86" s="14">
        <v>45688</v>
      </c>
      <c r="L86" s="15" t="s">
        <v>15</v>
      </c>
    </row>
    <row r="87" spans="1:12" s="6" customFormat="1" ht="11.5" outlineLevel="2" x14ac:dyDescent="0.25">
      <c r="A87" s="9"/>
      <c r="B87" s="10" t="s">
        <v>33</v>
      </c>
      <c r="C87" s="11" t="s">
        <v>34</v>
      </c>
      <c r="D87" s="12">
        <v>7934577</v>
      </c>
      <c r="E87" s="13">
        <v>45747</v>
      </c>
      <c r="F87" s="10">
        <v>7935</v>
      </c>
      <c r="G87" s="10">
        <v>0</v>
      </c>
      <c r="H87" s="10">
        <v>0</v>
      </c>
      <c r="I87" s="10">
        <v>0.1</v>
      </c>
      <c r="J87" s="10">
        <v>7935</v>
      </c>
      <c r="K87" s="14">
        <v>45747</v>
      </c>
      <c r="L87" s="15" t="s">
        <v>15</v>
      </c>
    </row>
    <row r="88" spans="1:12" s="6" customFormat="1" ht="11.5" outlineLevel="2" x14ac:dyDescent="0.25">
      <c r="A88" s="9"/>
      <c r="B88" s="16" t="s">
        <v>57</v>
      </c>
      <c r="C88" s="17"/>
      <c r="D88" s="18">
        <f>SUBTOTAL(9,D82:D87)</f>
        <v>47685556</v>
      </c>
      <c r="E88" s="17"/>
      <c r="F88" s="19">
        <f>SUBTOTAL(9,F82:F87)</f>
        <v>47686</v>
      </c>
      <c r="G88" s="19">
        <f>SUBTOTAL(9,G82:G87)</f>
        <v>0</v>
      </c>
      <c r="H88" s="19">
        <f>SUBTOTAL(9,H82:H87)</f>
        <v>0</v>
      </c>
      <c r="I88" s="17"/>
      <c r="J88" s="19">
        <f>SUBTOTAL(9,J82:J87)</f>
        <v>47686</v>
      </c>
      <c r="K88" s="17"/>
      <c r="L88" s="17"/>
    </row>
    <row r="89" spans="1:12" s="6" customFormat="1" ht="11.5" outlineLevel="2" x14ac:dyDescent="0.25">
      <c r="A89" s="9"/>
      <c r="B89" s="20" t="s">
        <v>35</v>
      </c>
      <c r="C89" s="11" t="s">
        <v>34</v>
      </c>
      <c r="D89" s="12">
        <v>4892496</v>
      </c>
      <c r="E89" s="13">
        <v>45443</v>
      </c>
      <c r="F89" s="10">
        <v>4892</v>
      </c>
      <c r="G89" s="10">
        <v>0</v>
      </c>
      <c r="H89" s="10">
        <v>0</v>
      </c>
      <c r="I89" s="10">
        <v>0.1</v>
      </c>
      <c r="J89" s="10">
        <v>4892</v>
      </c>
      <c r="K89" s="14">
        <v>45443</v>
      </c>
      <c r="L89" s="15" t="s">
        <v>15</v>
      </c>
    </row>
    <row r="90" spans="1:12" s="6" customFormat="1" ht="11.5" outlineLevel="2" x14ac:dyDescent="0.25">
      <c r="A90" s="9"/>
      <c r="B90" s="21" t="s">
        <v>35</v>
      </c>
      <c r="C90" s="11" t="s">
        <v>34</v>
      </c>
      <c r="D90" s="12">
        <v>1480982</v>
      </c>
      <c r="E90" s="13">
        <v>45473</v>
      </c>
      <c r="F90" s="10">
        <v>1481</v>
      </c>
      <c r="G90" s="10">
        <v>0</v>
      </c>
      <c r="H90" s="10">
        <v>0</v>
      </c>
      <c r="I90" s="10">
        <v>0.1</v>
      </c>
      <c r="J90" s="10">
        <v>1481</v>
      </c>
      <c r="K90" s="14">
        <v>45473</v>
      </c>
      <c r="L90" s="15" t="s">
        <v>15</v>
      </c>
    </row>
    <row r="91" spans="1:12" s="6" customFormat="1" ht="11.5" outlineLevel="2" x14ac:dyDescent="0.25">
      <c r="A91" s="9"/>
      <c r="B91" s="10" t="s">
        <v>35</v>
      </c>
      <c r="C91" s="11" t="s">
        <v>34</v>
      </c>
      <c r="D91" s="12">
        <v>23238</v>
      </c>
      <c r="E91" s="13">
        <v>45473</v>
      </c>
      <c r="F91" s="10">
        <v>23</v>
      </c>
      <c r="G91" s="10">
        <v>0</v>
      </c>
      <c r="H91" s="10">
        <v>0</v>
      </c>
      <c r="I91" s="10">
        <v>0.1</v>
      </c>
      <c r="J91" s="10">
        <v>23</v>
      </c>
      <c r="K91" s="14">
        <v>45473</v>
      </c>
      <c r="L91" s="15" t="s">
        <v>15</v>
      </c>
    </row>
    <row r="92" spans="1:12" s="6" customFormat="1" ht="11.5" outlineLevel="2" x14ac:dyDescent="0.25">
      <c r="A92" s="9"/>
      <c r="B92" s="16" t="s">
        <v>58</v>
      </c>
      <c r="C92" s="17"/>
      <c r="D92" s="18">
        <f>SUBTOTAL(9,D89:D91)</f>
        <v>6396716</v>
      </c>
      <c r="E92" s="17"/>
      <c r="F92" s="19">
        <f>SUBTOTAL(9,F89:F91)</f>
        <v>6396</v>
      </c>
      <c r="G92" s="19">
        <f>SUBTOTAL(9,G89:G91)</f>
        <v>0</v>
      </c>
      <c r="H92" s="19">
        <f>SUBTOTAL(9,H89:H91)</f>
        <v>0</v>
      </c>
      <c r="I92" s="17"/>
      <c r="J92" s="19">
        <f>SUBTOTAL(9,J89:J91)</f>
        <v>6396</v>
      </c>
      <c r="K92" s="17"/>
      <c r="L92" s="17"/>
    </row>
    <row r="93" spans="1:12" s="6" customFormat="1" ht="11.5" outlineLevel="2" x14ac:dyDescent="0.25">
      <c r="A93" s="9"/>
      <c r="B93" s="20" t="s">
        <v>73</v>
      </c>
      <c r="C93" s="11" t="s">
        <v>18</v>
      </c>
      <c r="D93" s="12">
        <v>206667</v>
      </c>
      <c r="E93" s="13">
        <v>45473</v>
      </c>
      <c r="F93" s="10">
        <v>20666</v>
      </c>
      <c r="G93" s="10">
        <v>0</v>
      </c>
      <c r="H93" s="10">
        <v>0</v>
      </c>
      <c r="I93" s="10">
        <v>10</v>
      </c>
      <c r="J93" s="10">
        <v>20666</v>
      </c>
      <c r="K93" s="14">
        <v>45473</v>
      </c>
      <c r="L93" s="15" t="s">
        <v>15</v>
      </c>
    </row>
    <row r="94" spans="1:12" s="6" customFormat="1" ht="11.5" outlineLevel="2" x14ac:dyDescent="0.25">
      <c r="A94" s="9"/>
      <c r="B94" s="21" t="s">
        <v>73</v>
      </c>
      <c r="C94" s="11" t="s">
        <v>18</v>
      </c>
      <c r="D94" s="12">
        <v>214373</v>
      </c>
      <c r="E94" s="13">
        <v>45565</v>
      </c>
      <c r="F94" s="10">
        <v>21437</v>
      </c>
      <c r="G94" s="10">
        <v>0</v>
      </c>
      <c r="H94" s="10">
        <v>0</v>
      </c>
      <c r="I94" s="10">
        <v>10</v>
      </c>
      <c r="J94" s="10">
        <v>21437</v>
      </c>
      <c r="K94" s="14">
        <v>45565</v>
      </c>
      <c r="L94" s="15" t="s">
        <v>15</v>
      </c>
    </row>
    <row r="95" spans="1:12" s="6" customFormat="1" ht="11.5" outlineLevel="2" x14ac:dyDescent="0.25">
      <c r="A95" s="9"/>
      <c r="B95" s="21" t="s">
        <v>73</v>
      </c>
      <c r="C95" s="11" t="s">
        <v>18</v>
      </c>
      <c r="D95" s="12">
        <v>220838</v>
      </c>
      <c r="E95" s="13">
        <v>45657</v>
      </c>
      <c r="F95" s="10">
        <v>22084</v>
      </c>
      <c r="G95" s="10">
        <v>0</v>
      </c>
      <c r="H95" s="10">
        <v>0</v>
      </c>
      <c r="I95" s="10">
        <v>10</v>
      </c>
      <c r="J95" s="10">
        <v>22084</v>
      </c>
      <c r="K95" s="14">
        <v>45657</v>
      </c>
      <c r="L95" s="15" t="s">
        <v>15</v>
      </c>
    </row>
    <row r="96" spans="1:12" s="6" customFormat="1" ht="11.5" outlineLevel="2" x14ac:dyDescent="0.25">
      <c r="A96" s="9"/>
      <c r="B96" s="10" t="s">
        <v>73</v>
      </c>
      <c r="C96" s="11" t="s">
        <v>18</v>
      </c>
      <c r="D96" s="12">
        <v>205829</v>
      </c>
      <c r="E96" s="13">
        <v>45747</v>
      </c>
      <c r="F96" s="10">
        <v>20593</v>
      </c>
      <c r="G96" s="10">
        <v>0</v>
      </c>
      <c r="H96" s="10">
        <v>0</v>
      </c>
      <c r="I96" s="10">
        <v>10</v>
      </c>
      <c r="J96" s="10">
        <v>20593</v>
      </c>
      <c r="K96" s="14">
        <v>45747</v>
      </c>
      <c r="L96" s="15" t="s">
        <v>15</v>
      </c>
    </row>
    <row r="97" spans="1:12" s="6" customFormat="1" ht="11.5" outlineLevel="2" x14ac:dyDescent="0.25">
      <c r="A97" s="9"/>
      <c r="B97" s="16" t="s">
        <v>82</v>
      </c>
      <c r="C97" s="17"/>
      <c r="D97" s="18">
        <f>SUBTOTAL(9,D93:D96)</f>
        <v>847707</v>
      </c>
      <c r="E97" s="17"/>
      <c r="F97" s="19">
        <f>SUBTOTAL(9,F93:F96)</f>
        <v>84780</v>
      </c>
      <c r="G97" s="19">
        <f>SUBTOTAL(9,G93:G96)</f>
        <v>0</v>
      </c>
      <c r="H97" s="19">
        <f>SUBTOTAL(9,H93:H96)</f>
        <v>0</v>
      </c>
      <c r="I97" s="17"/>
      <c r="J97" s="19">
        <f>SUBTOTAL(9,J93:J96)</f>
        <v>84780</v>
      </c>
      <c r="K97" s="17"/>
      <c r="L97" s="17"/>
    </row>
    <row r="98" spans="1:12" s="6" customFormat="1" ht="11.5" outlineLevel="2" x14ac:dyDescent="0.25">
      <c r="A98" s="9"/>
      <c r="B98" s="10" t="s">
        <v>36</v>
      </c>
      <c r="C98" s="11" t="s">
        <v>25</v>
      </c>
      <c r="D98" s="12">
        <v>9000</v>
      </c>
      <c r="E98" s="13">
        <v>45688</v>
      </c>
      <c r="F98" s="10">
        <v>900</v>
      </c>
      <c r="G98" s="10">
        <v>0</v>
      </c>
      <c r="H98" s="10">
        <v>0</v>
      </c>
      <c r="I98" s="10">
        <v>10</v>
      </c>
      <c r="J98" s="10">
        <v>900</v>
      </c>
      <c r="K98" s="14">
        <v>45688</v>
      </c>
      <c r="L98" s="15" t="s">
        <v>15</v>
      </c>
    </row>
    <row r="99" spans="1:12" s="6" customFormat="1" ht="11.5" outlineLevel="2" x14ac:dyDescent="0.25">
      <c r="A99" s="9"/>
      <c r="B99" s="16" t="s">
        <v>59</v>
      </c>
      <c r="C99" s="17"/>
      <c r="D99" s="18">
        <f>SUBTOTAL(9,D98:D98)</f>
        <v>9000</v>
      </c>
      <c r="E99" s="17"/>
      <c r="F99" s="19">
        <f>SUBTOTAL(9,F98:F98)</f>
        <v>900</v>
      </c>
      <c r="G99" s="19">
        <f>SUBTOTAL(9,G98:G98)</f>
        <v>0</v>
      </c>
      <c r="H99" s="19">
        <f>SUBTOTAL(9,H98:H98)</f>
        <v>0</v>
      </c>
      <c r="I99" s="17"/>
      <c r="J99" s="19">
        <f>SUBTOTAL(9,J98:J98)</f>
        <v>900</v>
      </c>
      <c r="K99" s="17"/>
      <c r="L99" s="17"/>
    </row>
    <row r="100" spans="1:12" s="6" customFormat="1" ht="11.5" outlineLevel="2" x14ac:dyDescent="0.25">
      <c r="A100" s="9"/>
      <c r="B100" s="20" t="s">
        <v>37</v>
      </c>
      <c r="C100" s="11" t="s">
        <v>34</v>
      </c>
      <c r="D100" s="12">
        <v>862203</v>
      </c>
      <c r="E100" s="13">
        <v>45626</v>
      </c>
      <c r="F100" s="10">
        <v>862</v>
      </c>
      <c r="G100" s="10">
        <v>0</v>
      </c>
      <c r="H100" s="10">
        <v>0</v>
      </c>
      <c r="I100" s="10">
        <v>0.1</v>
      </c>
      <c r="J100" s="10">
        <v>862</v>
      </c>
      <c r="K100" s="14">
        <v>45626</v>
      </c>
      <c r="L100" s="15" t="s">
        <v>15</v>
      </c>
    </row>
    <row r="101" spans="1:12" s="6" customFormat="1" ht="11.5" outlineLevel="2" x14ac:dyDescent="0.25">
      <c r="A101" s="9"/>
      <c r="B101" s="21" t="s">
        <v>37</v>
      </c>
      <c r="C101" s="11" t="s">
        <v>34</v>
      </c>
      <c r="D101" s="12">
        <v>310823</v>
      </c>
      <c r="E101" s="13">
        <v>45657</v>
      </c>
      <c r="F101" s="10">
        <v>311</v>
      </c>
      <c r="G101" s="10">
        <v>0</v>
      </c>
      <c r="H101" s="10">
        <v>0</v>
      </c>
      <c r="I101" s="10">
        <v>0.1</v>
      </c>
      <c r="J101" s="10">
        <v>311</v>
      </c>
      <c r="K101" s="14">
        <v>45657</v>
      </c>
      <c r="L101" s="15" t="s">
        <v>15</v>
      </c>
    </row>
    <row r="102" spans="1:12" s="6" customFormat="1" ht="11.5" outlineLevel="2" x14ac:dyDescent="0.25">
      <c r="A102" s="9"/>
      <c r="B102" s="21" t="s">
        <v>37</v>
      </c>
      <c r="C102" s="11" t="s">
        <v>34</v>
      </c>
      <c r="D102" s="12">
        <v>2955497</v>
      </c>
      <c r="E102" s="13">
        <v>45657</v>
      </c>
      <c r="F102" s="10">
        <v>2956</v>
      </c>
      <c r="G102" s="10">
        <v>0</v>
      </c>
      <c r="H102" s="10">
        <v>0</v>
      </c>
      <c r="I102" s="10">
        <v>0.1</v>
      </c>
      <c r="J102" s="10">
        <v>2956</v>
      </c>
      <c r="K102" s="14">
        <v>45657</v>
      </c>
      <c r="L102" s="15" t="s">
        <v>15</v>
      </c>
    </row>
    <row r="103" spans="1:12" s="6" customFormat="1" ht="11.5" outlineLevel="2" x14ac:dyDescent="0.25">
      <c r="A103" s="9"/>
      <c r="B103" s="10" t="s">
        <v>37</v>
      </c>
      <c r="C103" s="11" t="s">
        <v>34</v>
      </c>
      <c r="D103" s="12">
        <v>381820</v>
      </c>
      <c r="E103" s="13">
        <v>45688</v>
      </c>
      <c r="F103" s="10">
        <v>382</v>
      </c>
      <c r="G103" s="10">
        <v>0</v>
      </c>
      <c r="H103" s="10">
        <v>0</v>
      </c>
      <c r="I103" s="10">
        <v>0.1</v>
      </c>
      <c r="J103" s="10">
        <v>382</v>
      </c>
      <c r="K103" s="14">
        <v>45688</v>
      </c>
      <c r="L103" s="15" t="s">
        <v>15</v>
      </c>
    </row>
    <row r="104" spans="1:12" s="6" customFormat="1" ht="11.5" outlineLevel="2" x14ac:dyDescent="0.25">
      <c r="A104" s="9"/>
      <c r="B104" s="16" t="s">
        <v>60</v>
      </c>
      <c r="C104" s="17"/>
      <c r="D104" s="18">
        <f>SUBTOTAL(9,D100:D103)</f>
        <v>4510343</v>
      </c>
      <c r="E104" s="17"/>
      <c r="F104" s="19">
        <f>SUBTOTAL(9,F100:F103)</f>
        <v>4511</v>
      </c>
      <c r="G104" s="19">
        <f>SUBTOTAL(9,G100:G103)</f>
        <v>0</v>
      </c>
      <c r="H104" s="19">
        <f>SUBTOTAL(9,H100:H103)</f>
        <v>0</v>
      </c>
      <c r="I104" s="17"/>
      <c r="J104" s="19">
        <f>SUBTOTAL(9,J100:J103)</f>
        <v>4511</v>
      </c>
      <c r="K104" s="17"/>
      <c r="L104" s="17"/>
    </row>
    <row r="105" spans="1:12" s="6" customFormat="1" ht="11.5" outlineLevel="2" x14ac:dyDescent="0.25">
      <c r="A105" s="9"/>
      <c r="B105" s="10" t="s">
        <v>38</v>
      </c>
      <c r="C105" s="11" t="s">
        <v>25</v>
      </c>
      <c r="D105" s="12">
        <v>120000</v>
      </c>
      <c r="E105" s="13">
        <v>45657</v>
      </c>
      <c r="F105" s="10">
        <v>12000</v>
      </c>
      <c r="G105" s="10">
        <v>0</v>
      </c>
      <c r="H105" s="10">
        <v>0</v>
      </c>
      <c r="I105" s="10">
        <v>10</v>
      </c>
      <c r="J105" s="10">
        <v>12000</v>
      </c>
      <c r="K105" s="14">
        <v>45657</v>
      </c>
      <c r="L105" s="15" t="s">
        <v>15</v>
      </c>
    </row>
    <row r="106" spans="1:12" s="6" customFormat="1" ht="11.5" outlineLevel="2" x14ac:dyDescent="0.25">
      <c r="A106" s="9"/>
      <c r="B106" s="16" t="s">
        <v>61</v>
      </c>
      <c r="C106" s="17"/>
      <c r="D106" s="18">
        <f>SUBTOTAL(9,D105:D105)</f>
        <v>120000</v>
      </c>
      <c r="E106" s="17"/>
      <c r="F106" s="19">
        <f>SUBTOTAL(9,F105:F105)</f>
        <v>12000</v>
      </c>
      <c r="G106" s="19">
        <f>SUBTOTAL(9,G105:G105)</f>
        <v>0</v>
      </c>
      <c r="H106" s="19">
        <f>SUBTOTAL(9,H105:H105)</f>
        <v>0</v>
      </c>
      <c r="I106" s="17"/>
      <c r="J106" s="19">
        <f>SUBTOTAL(9,J105:J105)</f>
        <v>12000</v>
      </c>
      <c r="K106" s="17"/>
      <c r="L106" s="17"/>
    </row>
    <row r="107" spans="1:12" s="6" customFormat="1" ht="11.5" outlineLevel="2" x14ac:dyDescent="0.25">
      <c r="A107" s="9"/>
      <c r="B107" s="10" t="s">
        <v>39</v>
      </c>
      <c r="C107" s="11" t="s">
        <v>14</v>
      </c>
      <c r="D107" s="12">
        <v>16502</v>
      </c>
      <c r="E107" s="13">
        <v>45747</v>
      </c>
      <c r="F107" s="10">
        <v>330</v>
      </c>
      <c r="G107" s="10">
        <v>0</v>
      </c>
      <c r="H107" s="10">
        <v>0</v>
      </c>
      <c r="I107" s="10">
        <v>2</v>
      </c>
      <c r="J107" s="10">
        <v>330</v>
      </c>
      <c r="K107" s="14">
        <v>45747</v>
      </c>
      <c r="L107" s="15" t="s">
        <v>15</v>
      </c>
    </row>
    <row r="108" spans="1:12" s="6" customFormat="1" ht="11.5" outlineLevel="2" x14ac:dyDescent="0.25">
      <c r="A108" s="9"/>
      <c r="B108" s="16" t="s">
        <v>62</v>
      </c>
      <c r="C108" s="17"/>
      <c r="D108" s="18">
        <f>SUBTOTAL(9,D107:D107)</f>
        <v>16502</v>
      </c>
      <c r="E108" s="17"/>
      <c r="F108" s="19">
        <f>SUBTOTAL(9,F107:F107)</f>
        <v>330</v>
      </c>
      <c r="G108" s="19">
        <f>SUBTOTAL(9,G107:G107)</f>
        <v>0</v>
      </c>
      <c r="H108" s="19">
        <f>SUBTOTAL(9,H107:H107)</f>
        <v>0</v>
      </c>
      <c r="I108" s="17"/>
      <c r="J108" s="19">
        <f>SUBTOTAL(9,J107:J107)</f>
        <v>330</v>
      </c>
      <c r="K108" s="17"/>
      <c r="L108" s="17"/>
    </row>
    <row r="109" spans="1:12" s="6" customFormat="1" ht="11.5" outlineLevel="2" x14ac:dyDescent="0.25">
      <c r="A109" s="9"/>
      <c r="B109" s="20" t="s">
        <v>74</v>
      </c>
      <c r="C109" s="11" t="s">
        <v>18</v>
      </c>
      <c r="D109" s="12">
        <v>142708</v>
      </c>
      <c r="E109" s="13">
        <v>45473</v>
      </c>
      <c r="F109" s="10">
        <v>14271</v>
      </c>
      <c r="G109" s="10">
        <v>0</v>
      </c>
      <c r="H109" s="10">
        <v>0</v>
      </c>
      <c r="I109" s="10">
        <v>10</v>
      </c>
      <c r="J109" s="10">
        <v>14271</v>
      </c>
      <c r="K109" s="14">
        <v>45473</v>
      </c>
      <c r="L109" s="15" t="s">
        <v>15</v>
      </c>
    </row>
    <row r="110" spans="1:12" s="6" customFormat="1" ht="11.5" outlineLevel="2" x14ac:dyDescent="0.25">
      <c r="A110" s="9"/>
      <c r="B110" s="21" t="s">
        <v>74</v>
      </c>
      <c r="C110" s="11" t="s">
        <v>18</v>
      </c>
      <c r="D110" s="12">
        <v>148019</v>
      </c>
      <c r="E110" s="13">
        <v>45565</v>
      </c>
      <c r="F110" s="10">
        <v>14802</v>
      </c>
      <c r="G110" s="10">
        <v>0</v>
      </c>
      <c r="H110" s="10">
        <v>0</v>
      </c>
      <c r="I110" s="10">
        <v>10</v>
      </c>
      <c r="J110" s="10">
        <v>14802</v>
      </c>
      <c r="K110" s="14">
        <v>45565</v>
      </c>
      <c r="L110" s="15" t="s">
        <v>15</v>
      </c>
    </row>
    <row r="111" spans="1:12" s="6" customFormat="1" ht="11.5" outlineLevel="2" x14ac:dyDescent="0.25">
      <c r="A111" s="9"/>
      <c r="B111" s="21" t="s">
        <v>74</v>
      </c>
      <c r="C111" s="11" t="s">
        <v>18</v>
      </c>
      <c r="D111" s="12">
        <v>152443</v>
      </c>
      <c r="E111" s="13">
        <v>45657</v>
      </c>
      <c r="F111" s="10">
        <v>15244</v>
      </c>
      <c r="G111" s="10">
        <v>0</v>
      </c>
      <c r="H111" s="10">
        <v>0</v>
      </c>
      <c r="I111" s="10">
        <v>10</v>
      </c>
      <c r="J111" s="10">
        <v>15244</v>
      </c>
      <c r="K111" s="14">
        <v>45657</v>
      </c>
      <c r="L111" s="15" t="s">
        <v>15</v>
      </c>
    </row>
    <row r="112" spans="1:12" s="6" customFormat="1" ht="11.5" outlineLevel="2" x14ac:dyDescent="0.25">
      <c r="A112" s="9"/>
      <c r="B112" s="10" t="s">
        <v>74</v>
      </c>
      <c r="C112" s="11" t="s">
        <v>18</v>
      </c>
      <c r="D112" s="12">
        <v>153123</v>
      </c>
      <c r="E112" s="13">
        <v>45747</v>
      </c>
      <c r="F112" s="10">
        <v>15312</v>
      </c>
      <c r="G112" s="10">
        <v>0</v>
      </c>
      <c r="H112" s="10">
        <v>0</v>
      </c>
      <c r="I112" s="10">
        <v>10</v>
      </c>
      <c r="J112" s="10">
        <v>15312</v>
      </c>
      <c r="K112" s="14">
        <v>45747</v>
      </c>
      <c r="L112" s="15" t="s">
        <v>15</v>
      </c>
    </row>
    <row r="113" spans="1:12" s="6" customFormat="1" ht="11.5" outlineLevel="2" x14ac:dyDescent="0.25">
      <c r="A113" s="9"/>
      <c r="B113" s="16" t="s">
        <v>83</v>
      </c>
      <c r="C113" s="17"/>
      <c r="D113" s="18">
        <f>SUBTOTAL(9,D109:D112)</f>
        <v>596293</v>
      </c>
      <c r="E113" s="17"/>
      <c r="F113" s="19">
        <f>SUBTOTAL(9,F109:F112)</f>
        <v>59629</v>
      </c>
      <c r="G113" s="19">
        <f>SUBTOTAL(9,G109:G112)</f>
        <v>0</v>
      </c>
      <c r="H113" s="19">
        <f>SUBTOTAL(9,H109:H112)</f>
        <v>0</v>
      </c>
      <c r="I113" s="17"/>
      <c r="J113" s="19">
        <f>SUBTOTAL(9,J109:J112)</f>
        <v>59629</v>
      </c>
      <c r="K113" s="17"/>
      <c r="L113" s="17"/>
    </row>
    <row r="114" spans="1:12" s="6" customFormat="1" ht="11.5" outlineLevel="2" x14ac:dyDescent="0.25">
      <c r="A114" s="9"/>
      <c r="B114" s="10" t="s">
        <v>40</v>
      </c>
      <c r="C114" s="11" t="s">
        <v>14</v>
      </c>
      <c r="D114" s="12">
        <v>64048</v>
      </c>
      <c r="E114" s="13">
        <v>45747</v>
      </c>
      <c r="F114" s="10">
        <v>1281</v>
      </c>
      <c r="G114" s="10">
        <v>0</v>
      </c>
      <c r="H114" s="10">
        <v>0</v>
      </c>
      <c r="I114" s="10">
        <v>2</v>
      </c>
      <c r="J114" s="10">
        <v>1281</v>
      </c>
      <c r="K114" s="14">
        <v>45747</v>
      </c>
      <c r="L114" s="15" t="s">
        <v>15</v>
      </c>
    </row>
    <row r="115" spans="1:12" s="6" customFormat="1" ht="11.5" outlineLevel="2" x14ac:dyDescent="0.25">
      <c r="A115" s="9"/>
      <c r="B115" s="16" t="s">
        <v>63</v>
      </c>
      <c r="C115" s="17"/>
      <c r="D115" s="18">
        <f>SUBTOTAL(9,D114:D114)</f>
        <v>64048</v>
      </c>
      <c r="E115" s="17"/>
      <c r="F115" s="19">
        <f>SUBTOTAL(9,F114:F114)</f>
        <v>1281</v>
      </c>
      <c r="G115" s="19">
        <f>SUBTOTAL(9,G114:G114)</f>
        <v>0</v>
      </c>
      <c r="H115" s="19">
        <f>SUBTOTAL(9,H114:H114)</f>
        <v>0</v>
      </c>
      <c r="I115" s="17"/>
      <c r="J115" s="19">
        <f>SUBTOTAL(9,J114:J114)</f>
        <v>1281</v>
      </c>
      <c r="K115" s="17"/>
      <c r="L115" s="17"/>
    </row>
    <row r="116" spans="1:12" s="6" customFormat="1" ht="11.5" outlineLevel="2" x14ac:dyDescent="0.25">
      <c r="A116" s="9"/>
      <c r="B116" s="10" t="s">
        <v>41</v>
      </c>
      <c r="C116" s="11" t="s">
        <v>14</v>
      </c>
      <c r="D116" s="12">
        <v>44585</v>
      </c>
      <c r="E116" s="13">
        <v>45747</v>
      </c>
      <c r="F116" s="10">
        <v>892</v>
      </c>
      <c r="G116" s="10">
        <v>0</v>
      </c>
      <c r="H116" s="10">
        <v>0</v>
      </c>
      <c r="I116" s="10">
        <v>2</v>
      </c>
      <c r="J116" s="10">
        <v>892</v>
      </c>
      <c r="K116" s="14">
        <v>45747</v>
      </c>
      <c r="L116" s="15" t="s">
        <v>15</v>
      </c>
    </row>
    <row r="117" spans="1:12" s="6" customFormat="1" ht="11.5" outlineLevel="2" x14ac:dyDescent="0.25">
      <c r="A117" s="9"/>
      <c r="B117" s="16" t="s">
        <v>64</v>
      </c>
      <c r="C117" s="17"/>
      <c r="D117" s="18">
        <f>SUBTOTAL(9,D116:D116)</f>
        <v>44585</v>
      </c>
      <c r="E117" s="17"/>
      <c r="F117" s="19">
        <f>SUBTOTAL(9,F116:F116)</f>
        <v>892</v>
      </c>
      <c r="G117" s="19">
        <f>SUBTOTAL(9,G116:G116)</f>
        <v>0</v>
      </c>
      <c r="H117" s="19">
        <f>SUBTOTAL(9,H116:H116)</f>
        <v>0</v>
      </c>
      <c r="I117" s="17"/>
      <c r="J117" s="19">
        <f>SUBTOTAL(9,J116:J116)</f>
        <v>892</v>
      </c>
      <c r="K117" s="17"/>
      <c r="L117" s="17"/>
    </row>
    <row r="118" spans="1:12" s="6" customFormat="1" ht="11.5" outlineLevel="2" x14ac:dyDescent="0.25">
      <c r="A118" s="9"/>
      <c r="B118" s="20" t="s">
        <v>75</v>
      </c>
      <c r="C118" s="11" t="s">
        <v>18</v>
      </c>
      <c r="D118" s="12">
        <v>74720</v>
      </c>
      <c r="E118" s="13">
        <v>45473</v>
      </c>
      <c r="F118" s="10">
        <v>7472</v>
      </c>
      <c r="G118" s="10">
        <v>0</v>
      </c>
      <c r="H118" s="10">
        <v>0</v>
      </c>
      <c r="I118" s="10">
        <v>10</v>
      </c>
      <c r="J118" s="10">
        <v>7472</v>
      </c>
      <c r="K118" s="14">
        <v>45473</v>
      </c>
      <c r="L118" s="15" t="s">
        <v>15</v>
      </c>
    </row>
    <row r="119" spans="1:12" s="6" customFormat="1" ht="11.5" outlineLevel="2" x14ac:dyDescent="0.25">
      <c r="A119" s="9"/>
      <c r="B119" s="21" t="s">
        <v>75</v>
      </c>
      <c r="C119" s="11" t="s">
        <v>18</v>
      </c>
      <c r="D119" s="12">
        <v>77582</v>
      </c>
      <c r="E119" s="13">
        <v>45565</v>
      </c>
      <c r="F119" s="10">
        <v>7758</v>
      </c>
      <c r="G119" s="10">
        <v>0</v>
      </c>
      <c r="H119" s="10">
        <v>0</v>
      </c>
      <c r="I119" s="10">
        <v>10</v>
      </c>
      <c r="J119" s="10">
        <v>7758</v>
      </c>
      <c r="K119" s="14">
        <v>45565</v>
      </c>
      <c r="L119" s="15" t="s">
        <v>15</v>
      </c>
    </row>
    <row r="120" spans="1:12" s="6" customFormat="1" ht="11.5" outlineLevel="2" x14ac:dyDescent="0.25">
      <c r="A120" s="9"/>
      <c r="B120" s="21" t="s">
        <v>75</v>
      </c>
      <c r="C120" s="11" t="s">
        <v>18</v>
      </c>
      <c r="D120" s="12">
        <v>79624</v>
      </c>
      <c r="E120" s="13">
        <v>45657</v>
      </c>
      <c r="F120" s="10">
        <v>7962</v>
      </c>
      <c r="G120" s="10">
        <v>0</v>
      </c>
      <c r="H120" s="10">
        <v>0</v>
      </c>
      <c r="I120" s="10">
        <v>10</v>
      </c>
      <c r="J120" s="10">
        <v>7962</v>
      </c>
      <c r="K120" s="14">
        <v>45657</v>
      </c>
      <c r="L120" s="15" t="s">
        <v>15</v>
      </c>
    </row>
    <row r="121" spans="1:12" s="6" customFormat="1" ht="11.5" outlineLevel="2" x14ac:dyDescent="0.25">
      <c r="A121" s="9"/>
      <c r="B121" s="10" t="s">
        <v>75</v>
      </c>
      <c r="C121" s="11" t="s">
        <v>18</v>
      </c>
      <c r="D121" s="12">
        <v>79890</v>
      </c>
      <c r="E121" s="13">
        <v>45747</v>
      </c>
      <c r="F121" s="10">
        <v>7989</v>
      </c>
      <c r="G121" s="10">
        <v>0</v>
      </c>
      <c r="H121" s="10">
        <v>0</v>
      </c>
      <c r="I121" s="10">
        <v>10</v>
      </c>
      <c r="J121" s="10">
        <v>7989</v>
      </c>
      <c r="K121" s="14">
        <v>45747</v>
      </c>
      <c r="L121" s="15" t="s">
        <v>15</v>
      </c>
    </row>
    <row r="122" spans="1:12" s="6" customFormat="1" ht="11.5" outlineLevel="2" x14ac:dyDescent="0.25">
      <c r="A122" s="9"/>
      <c r="B122" s="16" t="s">
        <v>84</v>
      </c>
      <c r="C122" s="17"/>
      <c r="D122" s="18">
        <f>SUBTOTAL(9,D118:D121)</f>
        <v>311816</v>
      </c>
      <c r="E122" s="17"/>
      <c r="F122" s="19">
        <f>SUBTOTAL(9,F118:F121)</f>
        <v>31181</v>
      </c>
      <c r="G122" s="19">
        <f>SUBTOTAL(9,G118:G121)</f>
        <v>0</v>
      </c>
      <c r="H122" s="19">
        <f>SUBTOTAL(9,H118:H121)</f>
        <v>0</v>
      </c>
      <c r="I122" s="17"/>
      <c r="J122" s="19">
        <f>SUBTOTAL(9,J118:J121)</f>
        <v>31181</v>
      </c>
      <c r="K122" s="17"/>
      <c r="L122" s="17"/>
    </row>
    <row r="123" spans="1:12" s="6" customFormat="1" ht="11.5" outlineLevel="2" x14ac:dyDescent="0.25">
      <c r="A123" s="9"/>
      <c r="B123" s="16" t="s">
        <v>65</v>
      </c>
      <c r="C123" s="17"/>
      <c r="D123" s="18">
        <f>SUBTOTAL(9,D5:D121)</f>
        <v>68592520</v>
      </c>
      <c r="E123" s="17"/>
      <c r="F123" s="19">
        <f>SUBTOTAL(9,F5:F121)</f>
        <v>878092</v>
      </c>
      <c r="G123" s="19">
        <f>SUBTOTAL(9,G5:G121)</f>
        <v>0</v>
      </c>
      <c r="H123" s="19">
        <f>SUBTOTAL(9,H5:H121)</f>
        <v>0</v>
      </c>
      <c r="I123" s="17"/>
      <c r="J123" s="19">
        <f>SUBTOTAL(9,J5:J121)</f>
        <v>878092</v>
      </c>
      <c r="K123" s="17"/>
      <c r="L123" s="17"/>
    </row>
  </sheetData>
  <autoFilter ref="A4:L122"/>
  <phoneticPr fontId="0" type="noConversion"/>
  <pageMargins left="0.75" right="0.53" top="1" bottom="1" header="0.5" footer="0.5"/>
  <pageSetup paperSize="9" orientation="landscape" r:id="rId1"/>
  <headerFooter alignWithMargins="0">
    <oddFooter>&amp;R&amp;"Times New Roman,Regular"&amp;11____________________________________________________________________________________________________________________________________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Deduction Details</vt:lpstr>
      <vt:lpstr>'Deduction Details'!Print_Titles</vt:lpstr>
    </vt:vector>
  </TitlesOfParts>
  <Company>Relyon Softech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Relyon Softech Ltd.</dc:creator>
  <cp:lastModifiedBy>admin</cp:lastModifiedBy>
  <cp:lastPrinted>2007-11-15T09:39:57Z</cp:lastPrinted>
  <dcterms:created xsi:type="dcterms:W3CDTF">2005-08-03T09:27:48Z</dcterms:created>
  <dcterms:modified xsi:type="dcterms:W3CDTF">2026-03-21T12:26:20Z</dcterms:modified>
</cp:coreProperties>
</file>