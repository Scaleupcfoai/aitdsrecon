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ll-server\d\A Client\MANAK CHAND DUGAR\HIRA PANNA\2024\BS\TDS\New\"/>
    </mc:Choice>
  </mc:AlternateContent>
  <xr:revisionPtr revIDLastSave="0" documentId="8_{C7024E89-29D0-4BE5-B10F-B0EDBE80ED3B}" xr6:coauthVersionLast="47" xr6:coauthVersionMax="47" xr10:uidLastSave="{00000000-0000-0000-0000-000000000000}"/>
  <bookViews>
    <workbookView xWindow="-120" yWindow="-120" windowWidth="20730" windowHeight="11040" tabRatio="508" xr2:uid="{00000000-000D-0000-FFFF-FFFF00000000}"/>
  </bookViews>
  <sheets>
    <sheet name="Challan Details" sheetId="1" r:id="rId1"/>
  </sheets>
  <definedNames>
    <definedName name="ChaDetail">'Challan Details'!#REF!</definedName>
    <definedName name="_xlnm.Print_Titles" localSheetId="0">'Challan Details'!$1:$4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J33" i="1"/>
  <c r="I33" i="1"/>
  <c r="H33" i="1"/>
  <c r="G33" i="1"/>
  <c r="F33" i="1"/>
  <c r="E33" i="1"/>
  <c r="D33" i="1"/>
  <c r="K24" i="1"/>
  <c r="J24" i="1"/>
  <c r="I24" i="1"/>
  <c r="H24" i="1"/>
  <c r="G24" i="1"/>
  <c r="F24" i="1"/>
  <c r="E24" i="1"/>
  <c r="D24" i="1"/>
  <c r="K22" i="1"/>
  <c r="J22" i="1"/>
  <c r="I22" i="1"/>
  <c r="H22" i="1"/>
  <c r="G22" i="1"/>
  <c r="F22" i="1"/>
  <c r="E22" i="1"/>
  <c r="D22" i="1"/>
  <c r="K20" i="1"/>
  <c r="J20" i="1"/>
  <c r="I20" i="1"/>
  <c r="H20" i="1"/>
  <c r="G20" i="1"/>
  <c r="F20" i="1"/>
  <c r="E20" i="1"/>
  <c r="D20" i="1"/>
  <c r="K7" i="1"/>
  <c r="K34" i="1" s="1"/>
  <c r="J7" i="1"/>
  <c r="I7" i="1"/>
  <c r="I34" i="1" s="1"/>
  <c r="H7" i="1"/>
  <c r="H34" i="1" s="1"/>
  <c r="G7" i="1"/>
  <c r="G34" i="1" s="1"/>
  <c r="F7" i="1"/>
  <c r="F34" i="1" s="1"/>
  <c r="E7" i="1"/>
  <c r="E34" i="1" s="1"/>
  <c r="D7" i="1"/>
  <c r="D34" i="1" s="1"/>
  <c r="M1" i="1"/>
  <c r="J34" i="1" l="1"/>
</calcChain>
</file>

<file path=xl/sharedStrings.xml><?xml version="1.0" encoding="utf-8"?>
<sst xmlns="http://schemas.openxmlformats.org/spreadsheetml/2006/main" count="74" uniqueCount="74">
  <si>
    <t>Section</t>
  </si>
  <si>
    <t>Cha/Vch No.</t>
  </si>
  <si>
    <t>Cha/Vch Date</t>
  </si>
  <si>
    <t>Challan Sr. No.</t>
  </si>
  <si>
    <t xml:space="preserve">Print Date: </t>
  </si>
  <si>
    <t>Income Tax
Rs.</t>
  </si>
  <si>
    <t>Surcharge
Rs.</t>
  </si>
  <si>
    <t>Edu. Cess
Rs.</t>
  </si>
  <si>
    <t>Interest
Rs.</t>
  </si>
  <si>
    <t>Penalty
Rs.</t>
  </si>
  <si>
    <t>Total Paid
Rs.</t>
  </si>
  <si>
    <t>Others
Rs.</t>
  </si>
  <si>
    <t>Fee 
u/s 234E
Rs.</t>
  </si>
  <si>
    <t>HIRA PANNA COLLECTIONS PVT LTD</t>
  </si>
  <si>
    <t>Challan details (Form-26Q) for the period 01/Apr/2023 to 03/Sep/2024</t>
  </si>
  <si>
    <t>194A</t>
  </si>
  <si>
    <t>1 : Q2</t>
  </si>
  <si>
    <t>15738</t>
  </si>
  <si>
    <t>5 : Q4</t>
  </si>
  <si>
    <t>6895</t>
  </si>
  <si>
    <t>194C</t>
  </si>
  <si>
    <t>1 : Q1</t>
  </si>
  <si>
    <t>10548</t>
  </si>
  <si>
    <t>2 : Q1</t>
  </si>
  <si>
    <t>15001</t>
  </si>
  <si>
    <t>3 : Q1</t>
  </si>
  <si>
    <t>21001</t>
  </si>
  <si>
    <t>6 : Q2</t>
  </si>
  <si>
    <t>6271</t>
  </si>
  <si>
    <t>5 : Q2</t>
  </si>
  <si>
    <t>15959</t>
  </si>
  <si>
    <t>3 : Q2</t>
  </si>
  <si>
    <t>15767</t>
  </si>
  <si>
    <t>7 : Q3</t>
  </si>
  <si>
    <t>79333</t>
  </si>
  <si>
    <t>5 : Q3</t>
  </si>
  <si>
    <t>21453</t>
  </si>
  <si>
    <t>3 : Q3</t>
  </si>
  <si>
    <t>18529</t>
  </si>
  <si>
    <t>9 : Q4</t>
  </si>
  <si>
    <t>25297</t>
  </si>
  <si>
    <t>7 : Q4</t>
  </si>
  <si>
    <t>16866</t>
  </si>
  <si>
    <t>4 : Q4</t>
  </si>
  <si>
    <t>17860</t>
  </si>
  <si>
    <t>194H</t>
  </si>
  <si>
    <t>2 : Q4</t>
  </si>
  <si>
    <t>10753</t>
  </si>
  <si>
    <t>194J</t>
  </si>
  <si>
    <t>2 : Q3</t>
  </si>
  <si>
    <t>18515</t>
  </si>
  <si>
    <t>194Q</t>
  </si>
  <si>
    <t>4 : Q2</t>
  </si>
  <si>
    <t>47043</t>
  </si>
  <si>
    <t>2 : Q2</t>
  </si>
  <si>
    <t>15681</t>
  </si>
  <si>
    <t>6 : Q3</t>
  </si>
  <si>
    <t>79260</t>
  </si>
  <si>
    <t>4 : Q3</t>
  </si>
  <si>
    <t>21489</t>
  </si>
  <si>
    <t>1 : Q3</t>
  </si>
  <si>
    <t>39473</t>
  </si>
  <si>
    <t>8 : Q4</t>
  </si>
  <si>
    <t>25246</t>
  </si>
  <si>
    <t>6 : Q4</t>
  </si>
  <si>
    <t>16911</t>
  </si>
  <si>
    <t>3 : Q4</t>
  </si>
  <si>
    <t>17880</t>
  </si>
  <si>
    <t>194A Total</t>
  </si>
  <si>
    <t>194C Total</t>
  </si>
  <si>
    <t>194H Total</t>
  </si>
  <si>
    <t>194J Total</t>
  </si>
  <si>
    <t>194Q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</si>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</sst>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6" x14ac:knownFonts="1">
    <font>
      <sz val="10"/>
      <name val="Verdana"/>
    </font>
    <font>
      <sz val="10"/>
      <name val="Arial Narrow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9"/>
      <name val="Arial Narrow"/>
      <family val="2"/>
    </font>
    <font>
      <b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3" xfId="0" applyFont="1" applyBorder="1" applyAlignment="1">
      <alignment horizontal="center" wrapText="1"/>
    </xf>
    <xf numFmtId="14" fontId="2" fillId="0" borderId="0" xfId="0" applyNumberFormat="1" applyFont="1" applyAlignment="1">
      <alignment horizontal="right"/>
    </xf>
    <xf numFmtId="49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4" fillId="0" borderId="1" xfId="0" applyFont="1" applyBorder="1"/>
    <xf numFmtId="1" fontId="5" fillId="0" borderId="1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4"/>
  <sheetViews>
    <sheetView showZeros="0" tabSelected="1" workbookViewId="0"/>
  </sheetViews>
  <sheetFormatPr defaultRowHeight="12.75" outlineLevelRow="2" x14ac:dyDescent="0.2"/>
  <cols>
    <col min="1" max="1" width="0.5" style="1" customWidth="1"/>
    <col min="2" max="2" width="7" style="1" customWidth="1"/>
    <col min="3" max="3" width="7.125" style="1" customWidth="1"/>
    <col min="4" max="4" width="9" style="1"/>
    <col min="5" max="5" width="8.625" style="1" customWidth="1"/>
    <col min="6" max="6" width="9.625" style="1" customWidth="1"/>
    <col min="7" max="7" width="7.875" style="1" customWidth="1"/>
    <col min="8" max="8" width="7.25" style="1" customWidth="1"/>
    <col min="9" max="9" width="7.375" style="1" customWidth="1"/>
    <col min="10" max="11" width="9" style="1"/>
    <col min="12" max="12" width="8.625" style="1" customWidth="1"/>
    <col min="13" max="13" width="10.625" style="1" customWidth="1"/>
    <col min="14" max="14" width="7" style="1" hidden="1" customWidth="1"/>
    <col min="15" max="15" width="8.625" style="1" customWidth="1"/>
    <col min="16" max="16" width="12.625" style="1" customWidth="1"/>
    <col min="17" max="16384" width="9" style="1"/>
  </cols>
  <sheetData>
    <row r="1" spans="2:13" ht="15" x14ac:dyDescent="0.25">
      <c r="B1" s="3" t="s">
        <v>13</v>
      </c>
      <c r="L1" s="3" t="s">
        <v>4</v>
      </c>
      <c r="M1" s="6">
        <f ca="1">NOW()</f>
        <v>45538.667694328702</v>
      </c>
    </row>
    <row r="2" spans="2:13" ht="14.25" x14ac:dyDescent="0.2">
      <c r="B2" s="4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8.25" customHeight="1" x14ac:dyDescent="0.2"/>
    <row r="4" spans="2:13" ht="43.5" customHeight="1" thickBot="1" x14ac:dyDescent="0.25">
      <c r="B4" s="5" t="s">
        <v>0</v>
      </c>
      <c r="C4" s="5" t="s">
        <v>3</v>
      </c>
      <c r="D4" s="5" t="s">
        <v>5</v>
      </c>
      <c r="E4" s="5" t="s">
        <v>12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11</v>
      </c>
      <c r="K4" s="5" t="s">
        <v>10</v>
      </c>
      <c r="L4" s="5" t="s">
        <v>1</v>
      </c>
      <c r="M4" s="5" t="s">
        <v>2</v>
      </c>
    </row>
    <row r="5" spans="2:13" s="12" customFormat="1" ht="14.25" outlineLevel="2" thickTop="1" x14ac:dyDescent="0.25">
      <c r="B5" s="16" t="s">
        <v>15</v>
      </c>
      <c r="C5" s="8" t="s">
        <v>16</v>
      </c>
      <c r="D5" s="9">
        <v>311956</v>
      </c>
      <c r="E5" s="10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311956</v>
      </c>
      <c r="L5" s="9" t="s">
        <v>17</v>
      </c>
      <c r="M5" s="11">
        <v>45203</v>
      </c>
    </row>
    <row r="6" spans="2:13" s="12" customFormat="1" ht="13.5" outlineLevel="2" x14ac:dyDescent="0.25">
      <c r="B6" s="17"/>
      <c r="C6" s="8" t="s">
        <v>18</v>
      </c>
      <c r="D6" s="9">
        <v>335850</v>
      </c>
      <c r="E6" s="10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335850</v>
      </c>
      <c r="L6" s="9" t="s">
        <v>19</v>
      </c>
      <c r="M6" s="11">
        <v>45378</v>
      </c>
    </row>
    <row r="7" spans="2:13" s="12" customFormat="1" ht="13.5" x14ac:dyDescent="0.25">
      <c r="B7" s="13" t="s">
        <v>68</v>
      </c>
      <c r="C7" s="14"/>
      <c r="D7" s="15">
        <f t="shared" ref="D7:K7" si="0">SUBTOTAL(9,D5:D6)</f>
        <v>647806</v>
      </c>
      <c r="E7" s="15">
        <f t="shared" si="0"/>
        <v>0</v>
      </c>
      <c r="F7" s="15">
        <f t="shared" si="0"/>
        <v>0</v>
      </c>
      <c r="G7" s="15">
        <f t="shared" si="0"/>
        <v>0</v>
      </c>
      <c r="H7" s="15">
        <f t="shared" si="0"/>
        <v>0</v>
      </c>
      <c r="I7" s="15">
        <f t="shared" si="0"/>
        <v>0</v>
      </c>
      <c r="J7" s="15">
        <f t="shared" si="0"/>
        <v>0</v>
      </c>
      <c r="K7" s="15">
        <f t="shared" si="0"/>
        <v>647806</v>
      </c>
      <c r="L7" s="14"/>
      <c r="M7" s="14"/>
    </row>
    <row r="8" spans="2:13" s="12" customFormat="1" ht="13.5" outlineLevel="2" x14ac:dyDescent="0.25">
      <c r="B8" s="16" t="s">
        <v>20</v>
      </c>
      <c r="C8" s="8" t="s">
        <v>21</v>
      </c>
      <c r="D8" s="9">
        <v>868</v>
      </c>
      <c r="E8" s="10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868</v>
      </c>
      <c r="L8" s="9" t="s">
        <v>22</v>
      </c>
      <c r="M8" s="11">
        <v>45050</v>
      </c>
    </row>
    <row r="9" spans="2:13" s="12" customFormat="1" ht="13.5" outlineLevel="2" x14ac:dyDescent="0.25">
      <c r="B9" s="18"/>
      <c r="C9" s="8" t="s">
        <v>23</v>
      </c>
      <c r="D9" s="9">
        <v>1004</v>
      </c>
      <c r="E9" s="10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1004</v>
      </c>
      <c r="L9" s="9" t="s">
        <v>24</v>
      </c>
      <c r="M9" s="11">
        <v>45082</v>
      </c>
    </row>
    <row r="10" spans="2:13" s="12" customFormat="1" ht="13.5" outlineLevel="2" x14ac:dyDescent="0.25">
      <c r="B10" s="18"/>
      <c r="C10" s="8" t="s">
        <v>25</v>
      </c>
      <c r="D10" s="9">
        <v>1047</v>
      </c>
      <c r="E10" s="10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1047</v>
      </c>
      <c r="L10" s="9" t="s">
        <v>26</v>
      </c>
      <c r="M10" s="11">
        <v>45113</v>
      </c>
    </row>
    <row r="11" spans="2:13" s="12" customFormat="1" ht="13.5" outlineLevel="2" x14ac:dyDescent="0.25">
      <c r="B11" s="18"/>
      <c r="C11" s="8" t="s">
        <v>27</v>
      </c>
      <c r="D11" s="9">
        <v>871</v>
      </c>
      <c r="E11" s="10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871</v>
      </c>
      <c r="L11" s="9" t="s">
        <v>28</v>
      </c>
      <c r="M11" s="11">
        <v>45140</v>
      </c>
    </row>
    <row r="12" spans="2:13" s="12" customFormat="1" ht="13.5" outlineLevel="2" x14ac:dyDescent="0.25">
      <c r="B12" s="18"/>
      <c r="C12" s="8" t="s">
        <v>29</v>
      </c>
      <c r="D12" s="9">
        <v>3757</v>
      </c>
      <c r="E12" s="10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3757</v>
      </c>
      <c r="L12" s="9" t="s">
        <v>30</v>
      </c>
      <c r="M12" s="11">
        <v>45174</v>
      </c>
    </row>
    <row r="13" spans="2:13" s="12" customFormat="1" ht="13.5" outlineLevel="2" x14ac:dyDescent="0.25">
      <c r="B13" s="18"/>
      <c r="C13" s="8" t="s">
        <v>31</v>
      </c>
      <c r="D13" s="9">
        <v>805</v>
      </c>
      <c r="E13" s="10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805</v>
      </c>
      <c r="L13" s="9" t="s">
        <v>32</v>
      </c>
      <c r="M13" s="11">
        <v>45203</v>
      </c>
    </row>
    <row r="14" spans="2:13" s="12" customFormat="1" ht="13.5" outlineLevel="2" x14ac:dyDescent="0.25">
      <c r="B14" s="18"/>
      <c r="C14" s="8" t="s">
        <v>33</v>
      </c>
      <c r="D14" s="9">
        <v>480</v>
      </c>
      <c r="E14" s="10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480</v>
      </c>
      <c r="L14" s="9" t="s">
        <v>34</v>
      </c>
      <c r="M14" s="11">
        <v>45237</v>
      </c>
    </row>
    <row r="15" spans="2:13" s="12" customFormat="1" ht="13.5" outlineLevel="2" x14ac:dyDescent="0.25">
      <c r="B15" s="18"/>
      <c r="C15" s="8" t="s">
        <v>35</v>
      </c>
      <c r="D15" s="9">
        <v>716</v>
      </c>
      <c r="E15" s="10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716</v>
      </c>
      <c r="L15" s="9" t="s">
        <v>36</v>
      </c>
      <c r="M15" s="11">
        <v>45265</v>
      </c>
    </row>
    <row r="16" spans="2:13" s="12" customFormat="1" ht="13.5" outlineLevel="2" x14ac:dyDescent="0.25">
      <c r="B16" s="18"/>
      <c r="C16" s="8" t="s">
        <v>37</v>
      </c>
      <c r="D16" s="9">
        <v>1616</v>
      </c>
      <c r="E16" s="10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1616</v>
      </c>
      <c r="L16" s="9" t="s">
        <v>38</v>
      </c>
      <c r="M16" s="11">
        <v>45295</v>
      </c>
    </row>
    <row r="17" spans="2:13" s="12" customFormat="1" ht="13.5" outlineLevel="2" x14ac:dyDescent="0.25">
      <c r="B17" s="18"/>
      <c r="C17" s="8" t="s">
        <v>39</v>
      </c>
      <c r="D17" s="9">
        <v>1097</v>
      </c>
      <c r="E17" s="10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1097</v>
      </c>
      <c r="L17" s="9" t="s">
        <v>40</v>
      </c>
      <c r="M17" s="11">
        <v>45328</v>
      </c>
    </row>
    <row r="18" spans="2:13" s="12" customFormat="1" ht="13.5" outlineLevel="2" x14ac:dyDescent="0.25">
      <c r="B18" s="18"/>
      <c r="C18" s="8" t="s">
        <v>41</v>
      </c>
      <c r="D18" s="9">
        <v>2116</v>
      </c>
      <c r="E18" s="10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2116</v>
      </c>
      <c r="L18" s="9" t="s">
        <v>42</v>
      </c>
      <c r="M18" s="11">
        <v>45356</v>
      </c>
    </row>
    <row r="19" spans="2:13" s="12" customFormat="1" ht="13.5" outlineLevel="2" x14ac:dyDescent="0.25">
      <c r="B19" s="17"/>
      <c r="C19" s="8" t="s">
        <v>43</v>
      </c>
      <c r="D19" s="9">
        <v>1056</v>
      </c>
      <c r="E19" s="10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1056</v>
      </c>
      <c r="L19" s="9" t="s">
        <v>44</v>
      </c>
      <c r="M19" s="11">
        <v>45387</v>
      </c>
    </row>
    <row r="20" spans="2:13" s="12" customFormat="1" ht="13.5" x14ac:dyDescent="0.25">
      <c r="B20" s="13" t="s">
        <v>69</v>
      </c>
      <c r="C20" s="14"/>
      <c r="D20" s="15">
        <f t="shared" ref="D20:K20" si="1">SUBTOTAL(9,D8:D19)</f>
        <v>15433</v>
      </c>
      <c r="E20" s="15">
        <f t="shared" si="1"/>
        <v>0</v>
      </c>
      <c r="F20" s="15">
        <f t="shared" si="1"/>
        <v>0</v>
      </c>
      <c r="G20" s="15">
        <f t="shared" si="1"/>
        <v>0</v>
      </c>
      <c r="H20" s="15">
        <f t="shared" si="1"/>
        <v>0</v>
      </c>
      <c r="I20" s="15">
        <f t="shared" si="1"/>
        <v>0</v>
      </c>
      <c r="J20" s="15">
        <f t="shared" si="1"/>
        <v>0</v>
      </c>
      <c r="K20" s="15">
        <f t="shared" si="1"/>
        <v>15433</v>
      </c>
      <c r="L20" s="14"/>
      <c r="M20" s="14"/>
    </row>
    <row r="21" spans="2:13" s="12" customFormat="1" ht="13.5" outlineLevel="2" x14ac:dyDescent="0.25">
      <c r="B21" s="7" t="s">
        <v>45</v>
      </c>
      <c r="C21" s="8" t="s">
        <v>46</v>
      </c>
      <c r="D21" s="9">
        <v>83724</v>
      </c>
      <c r="E21" s="10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83724</v>
      </c>
      <c r="L21" s="9" t="s">
        <v>47</v>
      </c>
      <c r="M21" s="11">
        <v>45407</v>
      </c>
    </row>
    <row r="22" spans="2:13" s="12" customFormat="1" ht="13.5" x14ac:dyDescent="0.25">
      <c r="B22" s="13" t="s">
        <v>70</v>
      </c>
      <c r="C22" s="14"/>
      <c r="D22" s="15">
        <f t="shared" ref="D22:K22" si="2">SUBTOTAL(9,D21:D21)</f>
        <v>83724</v>
      </c>
      <c r="E22" s="15">
        <f t="shared" si="2"/>
        <v>0</v>
      </c>
      <c r="F22" s="15">
        <f t="shared" si="2"/>
        <v>0</v>
      </c>
      <c r="G22" s="15">
        <f t="shared" si="2"/>
        <v>0</v>
      </c>
      <c r="H22" s="15">
        <f t="shared" si="2"/>
        <v>0</v>
      </c>
      <c r="I22" s="15">
        <f t="shared" si="2"/>
        <v>0</v>
      </c>
      <c r="J22" s="15">
        <f t="shared" si="2"/>
        <v>0</v>
      </c>
      <c r="K22" s="15">
        <f t="shared" si="2"/>
        <v>83724</v>
      </c>
      <c r="L22" s="14"/>
      <c r="M22" s="14"/>
    </row>
    <row r="23" spans="2:13" s="12" customFormat="1" ht="13.5" outlineLevel="2" x14ac:dyDescent="0.25">
      <c r="B23" s="7" t="s">
        <v>48</v>
      </c>
      <c r="C23" s="8" t="s">
        <v>49</v>
      </c>
      <c r="D23" s="9">
        <v>5650</v>
      </c>
      <c r="E23" s="10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5650</v>
      </c>
      <c r="L23" s="9" t="s">
        <v>50</v>
      </c>
      <c r="M23" s="11">
        <v>45295</v>
      </c>
    </row>
    <row r="24" spans="2:13" s="12" customFormat="1" ht="13.5" x14ac:dyDescent="0.25">
      <c r="B24" s="13" t="s">
        <v>71</v>
      </c>
      <c r="C24" s="14"/>
      <c r="D24" s="15">
        <f t="shared" ref="D24:K24" si="3">SUBTOTAL(9,D23:D23)</f>
        <v>5650</v>
      </c>
      <c r="E24" s="15">
        <f t="shared" si="3"/>
        <v>0</v>
      </c>
      <c r="F24" s="15">
        <f t="shared" si="3"/>
        <v>0</v>
      </c>
      <c r="G24" s="15">
        <f t="shared" si="3"/>
        <v>0</v>
      </c>
      <c r="H24" s="15">
        <f t="shared" si="3"/>
        <v>0</v>
      </c>
      <c r="I24" s="15">
        <f t="shared" si="3"/>
        <v>0</v>
      </c>
      <c r="J24" s="15">
        <f t="shared" si="3"/>
        <v>0</v>
      </c>
      <c r="K24" s="15">
        <f t="shared" si="3"/>
        <v>5650</v>
      </c>
      <c r="L24" s="14"/>
      <c r="M24" s="14"/>
    </row>
    <row r="25" spans="2:13" s="12" customFormat="1" ht="13.5" outlineLevel="2" x14ac:dyDescent="0.25">
      <c r="B25" s="16" t="s">
        <v>51</v>
      </c>
      <c r="C25" s="8" t="s">
        <v>52</v>
      </c>
      <c r="D25" s="9">
        <v>50545</v>
      </c>
      <c r="E25" s="10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50545</v>
      </c>
      <c r="L25" s="9" t="s">
        <v>53</v>
      </c>
      <c r="M25" s="11">
        <v>45176</v>
      </c>
    </row>
    <row r="26" spans="2:13" s="12" customFormat="1" ht="13.5" outlineLevel="2" x14ac:dyDescent="0.25">
      <c r="B26" s="18"/>
      <c r="C26" s="8" t="s">
        <v>54</v>
      </c>
      <c r="D26" s="9">
        <v>6853</v>
      </c>
      <c r="E26" s="10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6853</v>
      </c>
      <c r="L26" s="9" t="s">
        <v>55</v>
      </c>
      <c r="M26" s="11">
        <v>45203</v>
      </c>
    </row>
    <row r="27" spans="2:13" s="12" customFormat="1" ht="13.5" outlineLevel="2" x14ac:dyDescent="0.25">
      <c r="B27" s="18"/>
      <c r="C27" s="8" t="s">
        <v>56</v>
      </c>
      <c r="D27" s="9">
        <v>3397</v>
      </c>
      <c r="E27" s="10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3397</v>
      </c>
      <c r="L27" s="9" t="s">
        <v>57</v>
      </c>
      <c r="M27" s="11">
        <v>45237</v>
      </c>
    </row>
    <row r="28" spans="2:13" s="12" customFormat="1" ht="13.5" outlineLevel="2" x14ac:dyDescent="0.25">
      <c r="B28" s="18"/>
      <c r="C28" s="8" t="s">
        <v>58</v>
      </c>
      <c r="D28" s="9">
        <v>12771</v>
      </c>
      <c r="E28" s="10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12771</v>
      </c>
      <c r="L28" s="9" t="s">
        <v>59</v>
      </c>
      <c r="M28" s="11">
        <v>45265</v>
      </c>
    </row>
    <row r="29" spans="2:13" s="12" customFormat="1" ht="13.5" outlineLevel="2" x14ac:dyDescent="0.25">
      <c r="B29" s="18"/>
      <c r="C29" s="8" t="s">
        <v>60</v>
      </c>
      <c r="D29" s="9">
        <v>9788</v>
      </c>
      <c r="E29" s="10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9788</v>
      </c>
      <c r="L29" s="9" t="s">
        <v>61</v>
      </c>
      <c r="M29" s="11">
        <v>45296</v>
      </c>
    </row>
    <row r="30" spans="2:13" s="12" customFormat="1" ht="13.5" outlineLevel="2" x14ac:dyDescent="0.25">
      <c r="B30" s="18"/>
      <c r="C30" s="8" t="s">
        <v>62</v>
      </c>
      <c r="D30" s="9">
        <v>7298</v>
      </c>
      <c r="E30" s="10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7298</v>
      </c>
      <c r="L30" s="9" t="s">
        <v>63</v>
      </c>
      <c r="M30" s="11">
        <v>45328</v>
      </c>
    </row>
    <row r="31" spans="2:13" s="12" customFormat="1" ht="13.5" outlineLevel="2" x14ac:dyDescent="0.25">
      <c r="B31" s="18"/>
      <c r="C31" s="8" t="s">
        <v>64</v>
      </c>
      <c r="D31" s="9">
        <v>11663</v>
      </c>
      <c r="E31" s="10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11663</v>
      </c>
      <c r="L31" s="9" t="s">
        <v>65</v>
      </c>
      <c r="M31" s="11">
        <v>45356</v>
      </c>
    </row>
    <row r="32" spans="2:13" s="12" customFormat="1" ht="13.5" outlineLevel="2" x14ac:dyDescent="0.25">
      <c r="B32" s="17"/>
      <c r="C32" s="8" t="s">
        <v>66</v>
      </c>
      <c r="D32" s="9">
        <v>16056</v>
      </c>
      <c r="E32" s="10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16056</v>
      </c>
      <c r="L32" s="9" t="s">
        <v>67</v>
      </c>
      <c r="M32" s="11">
        <v>45387</v>
      </c>
    </row>
    <row r="33" spans="2:13" s="12" customFormat="1" ht="13.5" x14ac:dyDescent="0.25">
      <c r="B33" s="13" t="s">
        <v>72</v>
      </c>
      <c r="C33" s="14"/>
      <c r="D33" s="15">
        <f t="shared" ref="D33:K33" si="4">SUBTOTAL(9,D25:D32)</f>
        <v>118371</v>
      </c>
      <c r="E33" s="15">
        <f t="shared" si="4"/>
        <v>0</v>
      </c>
      <c r="F33" s="15">
        <f t="shared" si="4"/>
        <v>0</v>
      </c>
      <c r="G33" s="15">
        <f t="shared" si="4"/>
        <v>0</v>
      </c>
      <c r="H33" s="15">
        <f t="shared" si="4"/>
        <v>0</v>
      </c>
      <c r="I33" s="15">
        <f t="shared" si="4"/>
        <v>0</v>
      </c>
      <c r="J33" s="15">
        <f t="shared" si="4"/>
        <v>0</v>
      </c>
      <c r="K33" s="15">
        <f t="shared" si="4"/>
        <v>118371</v>
      </c>
      <c r="L33" s="14"/>
      <c r="M33" s="14"/>
    </row>
    <row r="34" spans="2:13" s="12" customFormat="1" ht="13.5" x14ac:dyDescent="0.25">
      <c r="B34" s="13" t="s">
        <v>73</v>
      </c>
      <c r="C34" s="14"/>
      <c r="D34" s="15">
        <f t="shared" ref="D34:K34" si="5">SUBTOTAL(9,D5:D32)</f>
        <v>870984</v>
      </c>
      <c r="E34" s="15">
        <f t="shared" si="5"/>
        <v>0</v>
      </c>
      <c r="F34" s="15">
        <f t="shared" si="5"/>
        <v>0</v>
      </c>
      <c r="G34" s="15">
        <f t="shared" si="5"/>
        <v>0</v>
      </c>
      <c r="H34" s="15">
        <f t="shared" si="5"/>
        <v>0</v>
      </c>
      <c r="I34" s="15">
        <f t="shared" si="5"/>
        <v>0</v>
      </c>
      <c r="J34" s="15">
        <f t="shared" si="5"/>
        <v>0</v>
      </c>
      <c r="K34" s="15">
        <f t="shared" si="5"/>
        <v>870984</v>
      </c>
      <c r="L34" s="14"/>
      <c r="M34" s="14"/>
    </row>
  </sheetData>
  <mergeCells count="3">
    <mergeCell ref="B5:B6"/>
    <mergeCell ref="B8:B19"/>
    <mergeCell ref="B25:B32"/>
  </mergeCells>
  <phoneticPr fontId="0" type="noConversion"/>
  <pageMargins left="0.64" right="0.41" top="1" bottom="1" header="0.5" footer="0.5"/>
  <pageSetup paperSize="9" orientation="landscape" r:id="rId1"/>
  <headerFooter alignWithMargins="0">
    <oddFooter>&amp;R___________________________________________________________________________________________________________________
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Challan Details</vt:lpstr>
      <vt:lpstr>'Challan Details'!Print_Titles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Relyon Softech Ltd.</dc:creator>
  <cp:lastModifiedBy>admin</cp:lastModifiedBy>
  <cp:lastPrinted>2015-05-25T05:41:45Z</cp:lastPrinted>
  <dcterms:created xsi:type="dcterms:W3CDTF">2005-08-04T04:28:47Z</dcterms:created>
  <dcterms:modified xsi:type="dcterms:W3CDTF">2024-09-03T10:32:25Z</dcterms:modified>
</cp:coreProperties>
</file>