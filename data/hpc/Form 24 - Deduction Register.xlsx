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ll-server\d\AA New Application\Article\Hetal\IT Products development\Ashish Jadhao\NEW\"/>
    </mc:Choice>
  </mc:AlternateContent>
  <bookViews>
    <workbookView xWindow="-120" yWindow="-120" windowWidth="20730" windowHeight="11040"/>
  </bookViews>
  <sheets>
    <sheet name="Deduction Details" sheetId="1" r:id="rId1"/>
  </sheets>
  <definedNames>
    <definedName name="_xlnm._FilterDatabase" localSheetId="0" hidden="1">'Deduction Details'!$A$4:$J$34</definedName>
    <definedName name="DedDetail">'Deduction Details'!#REF!</definedName>
    <definedName name="_xlnm.Print_Titles" localSheetId="0">'Deduction Details'!$1:$4</definedName>
  </definedNames>
  <calcPr calcId="152511"/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H34" i="1" l="1"/>
  <c r="G34" i="1"/>
  <c r="F34" i="1"/>
  <c r="E34" i="1"/>
  <c r="C34" i="1"/>
  <c r="H29" i="1"/>
  <c r="G29" i="1"/>
  <c r="F29" i="1"/>
  <c r="E29" i="1"/>
  <c r="C29" i="1"/>
  <c r="H24" i="1"/>
  <c r="G24" i="1"/>
  <c r="F24" i="1"/>
  <c r="E24" i="1"/>
  <c r="C24" i="1"/>
  <c r="H19" i="1"/>
  <c r="G19" i="1"/>
  <c r="F19" i="1"/>
  <c r="E19" i="1"/>
  <c r="C19" i="1"/>
  <c r="H14" i="1"/>
  <c r="G14" i="1"/>
  <c r="F14" i="1"/>
  <c r="E14" i="1"/>
  <c r="C14" i="1"/>
  <c r="H9" i="1"/>
  <c r="G9" i="1"/>
  <c r="F9" i="1"/>
  <c r="E9" i="1"/>
  <c r="C9" i="1"/>
  <c r="J1" i="1"/>
  <c r="H35" i="1" l="1"/>
  <c r="E35" i="1"/>
  <c r="C35" i="1"/>
  <c r="G35" i="1"/>
  <c r="F35" i="1"/>
</calcChain>
</file>

<file path=xl/sharedStrings.xml><?xml version="1.0" encoding="utf-8"?>
<sst xmlns="http://schemas.openxmlformats.org/spreadsheetml/2006/main" count="63" uniqueCount="20">
  <si>
    <t>Name</t>
  </si>
  <si>
    <t>Non Deduction Reason</t>
  </si>
  <si>
    <t>Income Tax
Rs.</t>
  </si>
  <si>
    <t>Surcharge
Rs.</t>
  </si>
  <si>
    <t>Cess
Rs.</t>
  </si>
  <si>
    <t>Tax Deducted Date</t>
  </si>
  <si>
    <t>Tax Deducted Rs.</t>
  </si>
  <si>
    <t xml:space="preserve">Print Date: </t>
  </si>
  <si>
    <t>Amt. Paid / Credited Date</t>
  </si>
  <si>
    <t>Amt. Paid / Credited
Rs.</t>
  </si>
  <si>
    <t>Deduction details (Form-24Q) for the period 01/Apr/2024 to 11/Sep/2025</t>
  </si>
  <si>
    <t/>
  </si>
  <si>
    <t>Grand Total</t>
  </si>
  <si>
    <t>AD (D1)</t>
  </si>
  <si>
    <t>ADD (D2)</t>
  </si>
  <si>
    <t>ADD (D3)</t>
  </si>
  <si>
    <t>HCD (D3)</t>
  </si>
  <si>
    <t>PCD (D4)</t>
  </si>
  <si>
    <t>SD (D5)</t>
  </si>
  <si>
    <t>HPC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</si>
</sst>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dd/mmm/yyyy"/>
    <numFmt numFmtId="166" formatCode="_ * #,##0_ ;_ * \-#,##0_ ;_ * &quot;-&quot;??_ ;_ @_ "/>
  </numFmts>
  <fonts count="7" x14ac:knownFonts="1">
    <font>
      <sz val="10"/>
      <name val="Verdana"/>
    </font>
    <font>
      <sz val="10"/>
      <name val="Arial Narrow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 Narrow"/>
      <family val="2"/>
    </font>
    <font>
      <b/>
      <sz val="9"/>
      <name val="Arial Narrow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166" fontId="3" fillId="0" borderId="0" xfId="1" applyNumberFormat="1" applyFont="1"/>
    <xf numFmtId="166" fontId="1" fillId="0" borderId="0" xfId="1" applyNumberFormat="1" applyFont="1"/>
    <xf numFmtId="166" fontId="4" fillId="0" borderId="2" xfId="1" applyNumberFormat="1" applyFont="1" applyFill="1" applyBorder="1" applyAlignment="1">
      <alignment horizontal="right" vertical="top"/>
    </xf>
    <xf numFmtId="166" fontId="5" fillId="0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66" fontId="2" fillId="0" borderId="3" xfId="1" applyNumberFormat="1" applyFont="1" applyFill="1" applyBorder="1" applyAlignment="1">
      <alignment horizontal="center" wrapText="1"/>
    </xf>
    <xf numFmtId="0" fontId="4" fillId="0" borderId="4" xfId="0" applyFont="1" applyFill="1" applyBorder="1" applyAlignment="1">
      <alignment vertical="top"/>
    </xf>
    <xf numFmtId="165" fontId="4" fillId="0" borderId="2" xfId="0" applyNumberFormat="1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righ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5" fillId="0" borderId="1" xfId="0" applyFont="1" applyFill="1" applyBorder="1"/>
    <xf numFmtId="0" fontId="4" fillId="0" borderId="1" xfId="0" applyFont="1" applyFill="1" applyBorder="1"/>
    <xf numFmtId="1" fontId="5" fillId="0" borderId="1" xfId="0" applyNumberFormat="1" applyFont="1" applyFill="1" applyBorder="1" applyAlignment="1">
      <alignment horizontal="right"/>
    </xf>
    <xf numFmtId="0" fontId="5" fillId="0" borderId="2" xfId="0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showZeros="0" tabSelected="1" zoomScaleNormal="100" workbookViewId="0">
      <selection activeCell="D5" sqref="D5"/>
    </sheetView>
  </sheetViews>
  <sheetFormatPr defaultColWidth="9" defaultRowHeight="13" outlineLevelRow="2" x14ac:dyDescent="0.3"/>
  <cols>
    <col min="1" max="1" width="0.765625" style="1" customWidth="1"/>
    <col min="2" max="2" width="25.61328125" style="1" customWidth="1"/>
    <col min="3" max="3" width="10.61328125" style="7" customWidth="1"/>
    <col min="4" max="4" width="10.61328125" style="1" customWidth="1"/>
    <col min="5" max="5" width="9.61328125" style="1" customWidth="1"/>
    <col min="6" max="6" width="9.3828125" style="1" customWidth="1"/>
    <col min="7" max="7" width="7.61328125" style="1" customWidth="1"/>
    <col min="8" max="8" width="10.3828125" style="1" customWidth="1"/>
    <col min="9" max="9" width="9.84375" style="1" customWidth="1"/>
    <col min="10" max="10" width="19" style="1" customWidth="1"/>
    <col min="11" max="16384" width="9" style="1"/>
  </cols>
  <sheetData>
    <row r="1" spans="2:10" s="2" customFormat="1" ht="14" x14ac:dyDescent="0.3">
      <c r="B1" s="2" t="s">
        <v>19</v>
      </c>
      <c r="C1" s="6"/>
      <c r="I1" s="4" t="s">
        <v>7</v>
      </c>
      <c r="J1" s="3">
        <f ca="1">NOW()</f>
        <v>46101.832292013889</v>
      </c>
    </row>
    <row r="2" spans="2:10" s="2" customFormat="1" ht="14" x14ac:dyDescent="0.3">
      <c r="B2" s="10" t="s">
        <v>10</v>
      </c>
      <c r="C2" s="11"/>
      <c r="D2" s="12"/>
      <c r="E2" s="12"/>
      <c r="F2" s="12"/>
      <c r="G2" s="12"/>
      <c r="H2" s="12"/>
      <c r="I2" s="12"/>
      <c r="J2" s="12"/>
    </row>
    <row r="3" spans="2:10" s="2" customFormat="1" ht="6.75" customHeight="1" x14ac:dyDescent="0.3">
      <c r="C3" s="6"/>
    </row>
    <row r="4" spans="2:10" s="2" customFormat="1" ht="46.5" customHeight="1" thickBot="1" x14ac:dyDescent="0.35">
      <c r="B4" s="13" t="s">
        <v>0</v>
      </c>
      <c r="C4" s="14" t="s">
        <v>9</v>
      </c>
      <c r="D4" s="13" t="s">
        <v>8</v>
      </c>
      <c r="E4" s="13" t="s">
        <v>2</v>
      </c>
      <c r="F4" s="13" t="s">
        <v>3</v>
      </c>
      <c r="G4" s="13" t="s">
        <v>4</v>
      </c>
      <c r="H4" s="13" t="s">
        <v>6</v>
      </c>
      <c r="I4" s="13" t="s">
        <v>5</v>
      </c>
      <c r="J4" s="13" t="s">
        <v>1</v>
      </c>
    </row>
    <row r="5" spans="2:10" s="5" customFormat="1" ht="12" outlineLevel="2" thickTop="1" x14ac:dyDescent="0.25">
      <c r="B5" s="15" t="s">
        <v>13</v>
      </c>
      <c r="C5" s="8">
        <v>675000</v>
      </c>
      <c r="D5" s="16">
        <v>45473</v>
      </c>
      <c r="E5" s="17">
        <v>202500</v>
      </c>
      <c r="F5" s="17">
        <v>0</v>
      </c>
      <c r="G5" s="17">
        <v>0</v>
      </c>
      <c r="H5" s="17">
        <v>202500</v>
      </c>
      <c r="I5" s="16">
        <v>45473</v>
      </c>
      <c r="J5" s="18" t="s">
        <v>11</v>
      </c>
    </row>
    <row r="6" spans="2:10" s="5" customFormat="1" ht="11.5" outlineLevel="2" x14ac:dyDescent="0.25">
      <c r="B6" s="19" t="s">
        <v>13</v>
      </c>
      <c r="C6" s="8">
        <v>675000</v>
      </c>
      <c r="D6" s="16">
        <v>45565</v>
      </c>
      <c r="E6" s="17">
        <v>202500</v>
      </c>
      <c r="F6" s="17">
        <v>0</v>
      </c>
      <c r="G6" s="17">
        <v>0</v>
      </c>
      <c r="H6" s="17">
        <v>202500</v>
      </c>
      <c r="I6" s="16">
        <v>45565</v>
      </c>
      <c r="J6" s="18" t="s">
        <v>11</v>
      </c>
    </row>
    <row r="7" spans="2:10" s="5" customFormat="1" ht="11.5" outlineLevel="2" x14ac:dyDescent="0.25">
      <c r="B7" s="19" t="s">
        <v>13</v>
      </c>
      <c r="C7" s="8">
        <v>675000</v>
      </c>
      <c r="D7" s="16">
        <v>45657</v>
      </c>
      <c r="E7" s="17">
        <v>202500</v>
      </c>
      <c r="F7" s="17">
        <v>0</v>
      </c>
      <c r="G7" s="17">
        <v>0</v>
      </c>
      <c r="H7" s="17">
        <v>202500</v>
      </c>
      <c r="I7" s="16">
        <v>45657</v>
      </c>
      <c r="J7" s="18" t="s">
        <v>11</v>
      </c>
    </row>
    <row r="8" spans="2:10" s="5" customFormat="1" ht="11.5" outlineLevel="2" x14ac:dyDescent="0.25">
      <c r="B8" s="20" t="s">
        <v>13</v>
      </c>
      <c r="C8" s="8">
        <v>675000</v>
      </c>
      <c r="D8" s="16">
        <v>45747</v>
      </c>
      <c r="E8" s="17">
        <v>202500</v>
      </c>
      <c r="F8" s="17">
        <v>0</v>
      </c>
      <c r="G8" s="17">
        <v>0</v>
      </c>
      <c r="H8" s="17">
        <v>202500</v>
      </c>
      <c r="I8" s="16">
        <v>45747</v>
      </c>
      <c r="J8" s="18" t="s">
        <v>11</v>
      </c>
    </row>
    <row r="9" spans="2:10" s="5" customFormat="1" ht="11.5" outlineLevel="2" x14ac:dyDescent="0.25">
      <c r="B9" s="21" t="s">
        <v>13</v>
      </c>
      <c r="C9" s="9">
        <f>SUBTOTAL(9,C5:C8)</f>
        <v>2700000</v>
      </c>
      <c r="D9" s="22"/>
      <c r="E9" s="23">
        <f>SUBTOTAL(9,E5:E8)</f>
        <v>810000</v>
      </c>
      <c r="F9" s="23">
        <f>SUBTOTAL(9,F5:F8)</f>
        <v>0</v>
      </c>
      <c r="G9" s="23">
        <f>SUBTOTAL(9,G5:G8)</f>
        <v>0</v>
      </c>
      <c r="H9" s="23">
        <f>SUBTOTAL(9,H5:H8)</f>
        <v>810000</v>
      </c>
      <c r="I9" s="22"/>
      <c r="J9" s="22"/>
    </row>
    <row r="10" spans="2:10" s="5" customFormat="1" ht="11.5" outlineLevel="2" x14ac:dyDescent="0.25">
      <c r="B10" s="15" t="s">
        <v>14</v>
      </c>
      <c r="C10" s="8">
        <v>562500</v>
      </c>
      <c r="D10" s="16">
        <v>45473</v>
      </c>
      <c r="E10" s="17">
        <v>168750</v>
      </c>
      <c r="F10" s="17">
        <v>0</v>
      </c>
      <c r="G10" s="17">
        <v>0</v>
      </c>
      <c r="H10" s="17">
        <v>168750</v>
      </c>
      <c r="I10" s="16">
        <v>45473</v>
      </c>
      <c r="J10" s="18" t="s">
        <v>11</v>
      </c>
    </row>
    <row r="11" spans="2:10" s="5" customFormat="1" ht="11.5" outlineLevel="2" x14ac:dyDescent="0.25">
      <c r="B11" s="20" t="str">
        <f t="shared" ref="B11:B14" si="0">B10</f>
        <v>ADD (D2)</v>
      </c>
      <c r="C11" s="8">
        <v>562500</v>
      </c>
      <c r="D11" s="16">
        <v>45565</v>
      </c>
      <c r="E11" s="17">
        <v>168750</v>
      </c>
      <c r="F11" s="17">
        <v>0</v>
      </c>
      <c r="G11" s="17">
        <v>0</v>
      </c>
      <c r="H11" s="17">
        <v>168750</v>
      </c>
      <c r="I11" s="16">
        <v>45565</v>
      </c>
      <c r="J11" s="18" t="s">
        <v>11</v>
      </c>
    </row>
    <row r="12" spans="2:10" s="5" customFormat="1" ht="11.5" outlineLevel="2" x14ac:dyDescent="0.25">
      <c r="B12" s="20" t="str">
        <f t="shared" si="0"/>
        <v>ADD (D2)</v>
      </c>
      <c r="C12" s="8">
        <v>562500</v>
      </c>
      <c r="D12" s="16">
        <v>45657</v>
      </c>
      <c r="E12" s="17">
        <v>168750</v>
      </c>
      <c r="F12" s="17">
        <v>0</v>
      </c>
      <c r="G12" s="17">
        <v>0</v>
      </c>
      <c r="H12" s="17">
        <v>168750</v>
      </c>
      <c r="I12" s="16">
        <v>45657</v>
      </c>
      <c r="J12" s="18" t="s">
        <v>11</v>
      </c>
    </row>
    <row r="13" spans="2:10" s="5" customFormat="1" ht="11.5" outlineLevel="2" x14ac:dyDescent="0.25">
      <c r="B13" s="20" t="str">
        <f t="shared" si="0"/>
        <v>ADD (D2)</v>
      </c>
      <c r="C13" s="8">
        <v>562500</v>
      </c>
      <c r="D13" s="16">
        <v>45747</v>
      </c>
      <c r="E13" s="17">
        <v>168750</v>
      </c>
      <c r="F13" s="17">
        <v>0</v>
      </c>
      <c r="G13" s="17">
        <v>0</v>
      </c>
      <c r="H13" s="17">
        <v>168750</v>
      </c>
      <c r="I13" s="16">
        <v>45747</v>
      </c>
      <c r="J13" s="18" t="s">
        <v>11</v>
      </c>
    </row>
    <row r="14" spans="2:10" s="5" customFormat="1" ht="11.5" outlineLevel="2" x14ac:dyDescent="0.25">
      <c r="B14" s="24" t="str">
        <f t="shared" si="0"/>
        <v>ADD (D2)</v>
      </c>
      <c r="C14" s="9">
        <f>SUBTOTAL(9,C10:C13)</f>
        <v>2250000</v>
      </c>
      <c r="D14" s="22"/>
      <c r="E14" s="23">
        <f>SUBTOTAL(9,E10:E13)</f>
        <v>675000</v>
      </c>
      <c r="F14" s="23">
        <f>SUBTOTAL(9,F10:F13)</f>
        <v>0</v>
      </c>
      <c r="G14" s="23">
        <f>SUBTOTAL(9,G10:G13)</f>
        <v>0</v>
      </c>
      <c r="H14" s="23">
        <f>SUBTOTAL(9,H10:H13)</f>
        <v>675000</v>
      </c>
      <c r="I14" s="22"/>
      <c r="J14" s="22"/>
    </row>
    <row r="15" spans="2:10" s="5" customFormat="1" ht="11.5" outlineLevel="2" x14ac:dyDescent="0.25">
      <c r="B15" s="15" t="s">
        <v>15</v>
      </c>
      <c r="C15" s="8">
        <v>562500</v>
      </c>
      <c r="D15" s="16">
        <v>45473</v>
      </c>
      <c r="E15" s="17">
        <v>168750</v>
      </c>
      <c r="F15" s="17">
        <v>0</v>
      </c>
      <c r="G15" s="17">
        <v>0</v>
      </c>
      <c r="H15" s="17">
        <v>168750</v>
      </c>
      <c r="I15" s="16">
        <v>45473</v>
      </c>
      <c r="J15" s="18" t="s">
        <v>11</v>
      </c>
    </row>
    <row r="16" spans="2:10" s="5" customFormat="1" ht="11.5" outlineLevel="2" x14ac:dyDescent="0.25">
      <c r="B16" s="20" t="s">
        <v>15</v>
      </c>
      <c r="C16" s="8">
        <v>562500</v>
      </c>
      <c r="D16" s="16">
        <v>45565</v>
      </c>
      <c r="E16" s="17">
        <v>168750</v>
      </c>
      <c r="F16" s="17">
        <v>0</v>
      </c>
      <c r="G16" s="17">
        <v>0</v>
      </c>
      <c r="H16" s="17">
        <v>168750</v>
      </c>
      <c r="I16" s="16">
        <v>45565</v>
      </c>
      <c r="J16" s="18" t="s">
        <v>11</v>
      </c>
    </row>
    <row r="17" spans="2:10" s="5" customFormat="1" ht="11.5" outlineLevel="2" x14ac:dyDescent="0.25">
      <c r="B17" s="20" t="s">
        <v>15</v>
      </c>
      <c r="C17" s="8">
        <v>562500</v>
      </c>
      <c r="D17" s="16">
        <v>45657</v>
      </c>
      <c r="E17" s="17">
        <v>168750</v>
      </c>
      <c r="F17" s="17">
        <v>0</v>
      </c>
      <c r="G17" s="17">
        <v>0</v>
      </c>
      <c r="H17" s="17">
        <v>168750</v>
      </c>
      <c r="I17" s="16">
        <v>45657</v>
      </c>
      <c r="J17" s="18" t="s">
        <v>11</v>
      </c>
    </row>
    <row r="18" spans="2:10" s="5" customFormat="1" ht="11.5" outlineLevel="2" x14ac:dyDescent="0.25">
      <c r="B18" s="20" t="s">
        <v>15</v>
      </c>
      <c r="C18" s="8">
        <v>562500</v>
      </c>
      <c r="D18" s="16">
        <v>45747</v>
      </c>
      <c r="E18" s="17">
        <v>168750</v>
      </c>
      <c r="F18" s="17">
        <v>0</v>
      </c>
      <c r="G18" s="17">
        <v>0</v>
      </c>
      <c r="H18" s="17">
        <v>168750</v>
      </c>
      <c r="I18" s="16">
        <v>45747</v>
      </c>
      <c r="J18" s="18" t="s">
        <v>11</v>
      </c>
    </row>
    <row r="19" spans="2:10" s="5" customFormat="1" ht="11.5" outlineLevel="2" x14ac:dyDescent="0.25">
      <c r="B19" s="21" t="s">
        <v>15</v>
      </c>
      <c r="C19" s="9">
        <f>SUBTOTAL(9,C15:C18)</f>
        <v>2250000</v>
      </c>
      <c r="D19" s="22"/>
      <c r="E19" s="23">
        <f>SUBTOTAL(9,E15:E18)</f>
        <v>675000</v>
      </c>
      <c r="F19" s="23">
        <f>SUBTOTAL(9,F15:F18)</f>
        <v>0</v>
      </c>
      <c r="G19" s="23">
        <f>SUBTOTAL(9,G15:G18)</f>
        <v>0</v>
      </c>
      <c r="H19" s="23">
        <f>SUBTOTAL(9,H15:H18)</f>
        <v>675000</v>
      </c>
      <c r="I19" s="22"/>
      <c r="J19" s="22"/>
    </row>
    <row r="20" spans="2:10" s="5" customFormat="1" ht="11.5" outlineLevel="2" x14ac:dyDescent="0.25">
      <c r="B20" s="15" t="s">
        <v>16</v>
      </c>
      <c r="C20" s="8">
        <v>1350000</v>
      </c>
      <c r="D20" s="16">
        <v>45473</v>
      </c>
      <c r="E20" s="17">
        <v>405000</v>
      </c>
      <c r="F20" s="17">
        <v>0</v>
      </c>
      <c r="G20" s="17">
        <v>0</v>
      </c>
      <c r="H20" s="17">
        <v>405000</v>
      </c>
      <c r="I20" s="16">
        <v>45473</v>
      </c>
      <c r="J20" s="18" t="s">
        <v>11</v>
      </c>
    </row>
    <row r="21" spans="2:10" s="5" customFormat="1" ht="11.5" outlineLevel="2" x14ac:dyDescent="0.25">
      <c r="B21" s="20" t="s">
        <v>16</v>
      </c>
      <c r="C21" s="8">
        <v>1350000</v>
      </c>
      <c r="D21" s="16">
        <v>45565</v>
      </c>
      <c r="E21" s="17">
        <v>405000</v>
      </c>
      <c r="F21" s="17">
        <v>0</v>
      </c>
      <c r="G21" s="17">
        <v>0</v>
      </c>
      <c r="H21" s="17">
        <v>405000</v>
      </c>
      <c r="I21" s="16">
        <v>45565</v>
      </c>
      <c r="J21" s="18" t="s">
        <v>11</v>
      </c>
    </row>
    <row r="22" spans="2:10" s="5" customFormat="1" ht="11.5" outlineLevel="2" x14ac:dyDescent="0.25">
      <c r="B22" s="20" t="s">
        <v>16</v>
      </c>
      <c r="C22" s="8">
        <v>1350000</v>
      </c>
      <c r="D22" s="16">
        <v>45657</v>
      </c>
      <c r="E22" s="17">
        <v>405000</v>
      </c>
      <c r="F22" s="17">
        <v>0</v>
      </c>
      <c r="G22" s="17">
        <v>0</v>
      </c>
      <c r="H22" s="17">
        <v>405000</v>
      </c>
      <c r="I22" s="16">
        <v>45657</v>
      </c>
      <c r="J22" s="18" t="s">
        <v>11</v>
      </c>
    </row>
    <row r="23" spans="2:10" s="5" customFormat="1" ht="11.5" outlineLevel="2" x14ac:dyDescent="0.25">
      <c r="B23" s="20" t="s">
        <v>16</v>
      </c>
      <c r="C23" s="8">
        <v>1350000</v>
      </c>
      <c r="D23" s="16">
        <v>45747</v>
      </c>
      <c r="E23" s="17">
        <v>405000</v>
      </c>
      <c r="F23" s="17">
        <v>0</v>
      </c>
      <c r="G23" s="17">
        <v>0</v>
      </c>
      <c r="H23" s="17">
        <v>405000</v>
      </c>
      <c r="I23" s="16">
        <v>45747</v>
      </c>
      <c r="J23" s="18" t="s">
        <v>11</v>
      </c>
    </row>
    <row r="24" spans="2:10" s="5" customFormat="1" ht="11.5" outlineLevel="2" x14ac:dyDescent="0.25">
      <c r="B24" s="21" t="s">
        <v>16</v>
      </c>
      <c r="C24" s="9">
        <f>SUBTOTAL(9,C20:C23)</f>
        <v>5400000</v>
      </c>
      <c r="D24" s="22"/>
      <c r="E24" s="23">
        <f>SUBTOTAL(9,E20:E23)</f>
        <v>1620000</v>
      </c>
      <c r="F24" s="23">
        <f>SUBTOTAL(9,F20:F23)</f>
        <v>0</v>
      </c>
      <c r="G24" s="23">
        <f>SUBTOTAL(9,G20:G23)</f>
        <v>0</v>
      </c>
      <c r="H24" s="23">
        <f>SUBTOTAL(9,H20:H23)</f>
        <v>1620000</v>
      </c>
      <c r="I24" s="22"/>
      <c r="J24" s="22"/>
    </row>
    <row r="25" spans="2:10" s="5" customFormat="1" ht="11.5" outlineLevel="2" x14ac:dyDescent="0.25">
      <c r="B25" s="15" t="s">
        <v>17</v>
      </c>
      <c r="C25" s="8">
        <v>600000</v>
      </c>
      <c r="D25" s="16">
        <v>45473</v>
      </c>
      <c r="E25" s="17">
        <v>180000</v>
      </c>
      <c r="F25" s="17">
        <v>0</v>
      </c>
      <c r="G25" s="17">
        <v>0</v>
      </c>
      <c r="H25" s="17">
        <v>180000</v>
      </c>
      <c r="I25" s="16">
        <v>45473</v>
      </c>
      <c r="J25" s="18" t="s">
        <v>11</v>
      </c>
    </row>
    <row r="26" spans="2:10" s="5" customFormat="1" ht="11.5" outlineLevel="2" x14ac:dyDescent="0.25">
      <c r="B26" s="20" t="s">
        <v>17</v>
      </c>
      <c r="C26" s="8">
        <v>600000</v>
      </c>
      <c r="D26" s="16">
        <v>45565</v>
      </c>
      <c r="E26" s="17">
        <v>180000</v>
      </c>
      <c r="F26" s="17">
        <v>0</v>
      </c>
      <c r="G26" s="17">
        <v>0</v>
      </c>
      <c r="H26" s="17">
        <v>180000</v>
      </c>
      <c r="I26" s="16">
        <v>45565</v>
      </c>
      <c r="J26" s="18" t="s">
        <v>11</v>
      </c>
    </row>
    <row r="27" spans="2:10" s="5" customFormat="1" ht="11.5" outlineLevel="2" x14ac:dyDescent="0.25">
      <c r="B27" s="20" t="s">
        <v>17</v>
      </c>
      <c r="C27" s="8">
        <v>600000</v>
      </c>
      <c r="D27" s="16">
        <v>45657</v>
      </c>
      <c r="E27" s="17">
        <v>180000</v>
      </c>
      <c r="F27" s="17">
        <v>0</v>
      </c>
      <c r="G27" s="17">
        <v>0</v>
      </c>
      <c r="H27" s="17">
        <v>180000</v>
      </c>
      <c r="I27" s="16">
        <v>45657</v>
      </c>
      <c r="J27" s="18" t="s">
        <v>11</v>
      </c>
    </row>
    <row r="28" spans="2:10" s="5" customFormat="1" ht="11.5" outlineLevel="2" x14ac:dyDescent="0.25">
      <c r="B28" s="20" t="s">
        <v>17</v>
      </c>
      <c r="C28" s="8">
        <v>600000</v>
      </c>
      <c r="D28" s="16">
        <v>45747</v>
      </c>
      <c r="E28" s="17">
        <v>180000</v>
      </c>
      <c r="F28" s="17">
        <v>0</v>
      </c>
      <c r="G28" s="17">
        <v>0</v>
      </c>
      <c r="H28" s="17">
        <v>180000</v>
      </c>
      <c r="I28" s="16">
        <v>45747</v>
      </c>
      <c r="J28" s="18" t="s">
        <v>11</v>
      </c>
    </row>
    <row r="29" spans="2:10" s="5" customFormat="1" ht="11.5" outlineLevel="2" x14ac:dyDescent="0.25">
      <c r="B29" s="21" t="s">
        <v>17</v>
      </c>
      <c r="C29" s="9">
        <f>SUBTOTAL(9,C25:C28)</f>
        <v>2400000</v>
      </c>
      <c r="D29" s="22"/>
      <c r="E29" s="23">
        <f>SUBTOTAL(9,E25:E28)</f>
        <v>720000</v>
      </c>
      <c r="F29" s="23">
        <f>SUBTOTAL(9,F25:F28)</f>
        <v>0</v>
      </c>
      <c r="G29" s="23">
        <f>SUBTOTAL(9,G25:G28)</f>
        <v>0</v>
      </c>
      <c r="H29" s="23">
        <f>SUBTOTAL(9,H25:H28)</f>
        <v>720000</v>
      </c>
      <c r="I29" s="22"/>
      <c r="J29" s="22"/>
    </row>
    <row r="30" spans="2:10" s="5" customFormat="1" ht="11.5" outlineLevel="2" x14ac:dyDescent="0.25">
      <c r="B30" s="15" t="s">
        <v>18</v>
      </c>
      <c r="C30" s="8">
        <v>450000</v>
      </c>
      <c r="D30" s="16">
        <v>45473</v>
      </c>
      <c r="E30" s="17">
        <v>135000</v>
      </c>
      <c r="F30" s="17">
        <v>0</v>
      </c>
      <c r="G30" s="17">
        <v>0</v>
      </c>
      <c r="H30" s="17">
        <v>135000</v>
      </c>
      <c r="I30" s="16">
        <v>45473</v>
      </c>
      <c r="J30" s="18" t="s">
        <v>11</v>
      </c>
    </row>
    <row r="31" spans="2:10" s="5" customFormat="1" ht="11.5" outlineLevel="2" x14ac:dyDescent="0.25">
      <c r="B31" s="20" t="s">
        <v>18</v>
      </c>
      <c r="C31" s="8">
        <v>450000</v>
      </c>
      <c r="D31" s="16">
        <v>45565</v>
      </c>
      <c r="E31" s="17">
        <v>135000</v>
      </c>
      <c r="F31" s="17">
        <v>0</v>
      </c>
      <c r="G31" s="17">
        <v>0</v>
      </c>
      <c r="H31" s="17">
        <v>135000</v>
      </c>
      <c r="I31" s="16">
        <v>45565</v>
      </c>
      <c r="J31" s="18" t="s">
        <v>11</v>
      </c>
    </row>
    <row r="32" spans="2:10" s="5" customFormat="1" ht="11.5" outlineLevel="2" x14ac:dyDescent="0.25">
      <c r="B32" s="20" t="s">
        <v>18</v>
      </c>
      <c r="C32" s="8">
        <v>450000</v>
      </c>
      <c r="D32" s="16">
        <v>45657</v>
      </c>
      <c r="E32" s="17">
        <v>135000</v>
      </c>
      <c r="F32" s="17">
        <v>0</v>
      </c>
      <c r="G32" s="17">
        <v>0</v>
      </c>
      <c r="H32" s="17">
        <v>135000</v>
      </c>
      <c r="I32" s="16">
        <v>45657</v>
      </c>
      <c r="J32" s="18" t="s">
        <v>11</v>
      </c>
    </row>
    <row r="33" spans="2:10" s="5" customFormat="1" ht="11.5" outlineLevel="2" x14ac:dyDescent="0.25">
      <c r="B33" s="20" t="s">
        <v>18</v>
      </c>
      <c r="C33" s="8">
        <v>450000</v>
      </c>
      <c r="D33" s="16">
        <v>45747</v>
      </c>
      <c r="E33" s="17">
        <v>135000</v>
      </c>
      <c r="F33" s="17">
        <v>0</v>
      </c>
      <c r="G33" s="17">
        <v>0</v>
      </c>
      <c r="H33" s="17">
        <v>135000</v>
      </c>
      <c r="I33" s="16">
        <v>45747</v>
      </c>
      <c r="J33" s="18" t="s">
        <v>11</v>
      </c>
    </row>
    <row r="34" spans="2:10" s="5" customFormat="1" ht="11.5" outlineLevel="2" x14ac:dyDescent="0.25">
      <c r="B34" s="21" t="s">
        <v>18</v>
      </c>
      <c r="C34" s="9">
        <f>SUBTOTAL(9,C30:C33)</f>
        <v>1800000</v>
      </c>
      <c r="D34" s="22"/>
      <c r="E34" s="23">
        <f>SUBTOTAL(9,E30:E33)</f>
        <v>540000</v>
      </c>
      <c r="F34" s="23">
        <f>SUBTOTAL(9,F30:F33)</f>
        <v>0</v>
      </c>
      <c r="G34" s="23">
        <f>SUBTOTAL(9,G30:G33)</f>
        <v>0</v>
      </c>
      <c r="H34" s="23">
        <f>SUBTOTAL(9,H30:H33)</f>
        <v>540000</v>
      </c>
      <c r="I34" s="22"/>
      <c r="J34" s="22"/>
    </row>
    <row r="35" spans="2:10" s="5" customFormat="1" ht="11.5" outlineLevel="2" x14ac:dyDescent="0.25">
      <c r="B35" s="21" t="s">
        <v>12</v>
      </c>
      <c r="C35" s="9">
        <f>SUBTOTAL(9,C5:C33)</f>
        <v>16800000</v>
      </c>
      <c r="D35" s="22"/>
      <c r="E35" s="23">
        <f>SUBTOTAL(9,E5:E33)</f>
        <v>5040000</v>
      </c>
      <c r="F35" s="23">
        <f>SUBTOTAL(9,F5:F33)</f>
        <v>0</v>
      </c>
      <c r="G35" s="23">
        <f>SUBTOTAL(9,G5:G33)</f>
        <v>0</v>
      </c>
      <c r="H35" s="23">
        <f>SUBTOTAL(9,H5:H33)</f>
        <v>5040000</v>
      </c>
      <c r="I35" s="22"/>
      <c r="J35" s="22"/>
    </row>
  </sheetData>
  <autoFilter ref="A4:J34"/>
  <phoneticPr fontId="0" type="noConversion"/>
  <pageMargins left="0.75" right="0.43" top="1" bottom="1" header="0.5" footer="0.5"/>
  <pageSetup paperSize="9" orientation="landscape" r:id="rId1"/>
  <headerFooter alignWithMargins="0">
    <oddFooter>&amp;R&amp;"Times New Roman,Regular"&amp;11____________________________________________________________________________________________________________________________________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Deduction Details</vt:lpstr>
      <vt:lpstr>'Deduction Details'!Print_Titles</vt:lpstr>
    </vt:vector>
  </TitlesOfParts>
  <Company>Relyon Softech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Relyon Softech Ltd.</dc:creator>
  <cp:lastModifiedBy>admin</cp:lastModifiedBy>
  <cp:lastPrinted>2010-04-15T05:20:54Z</cp:lastPrinted>
  <dcterms:created xsi:type="dcterms:W3CDTF">2005-08-03T09:27:48Z</dcterms:created>
  <dcterms:modified xsi:type="dcterms:W3CDTF">2026-03-20T14:28:41Z</dcterms:modified>
</cp:coreProperties>
</file>